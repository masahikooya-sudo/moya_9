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表紙" sheetId="1" state="visible" r:id="rId3"/>
    <sheet name="集計" sheetId="2" state="visible" r:id="rId4"/>
    <sheet name="テストケース" sheetId="3" state="visible" r:id="rId5"/>
    <sheet name="抽出精度テスト" sheetId="4" state="visible" r:id="rId6"/>
    <sheet name="効果測定" sheetId="5" state="visible" r:id="rId7"/>
    <sheet name="不具合管理" sheetId="6" state="visible" r:id="rId8"/>
  </sheets>
  <definedNames>
    <definedName function="false" hidden="true" localSheetId="2" name="_xlnm._FilterDatabase" vbProcedure="false">テストケース!$A$1:$M$83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<sst xmlns="http://schemas.openxmlformats.org/spreadsheetml/2006/main" count="1086" uniqueCount="670">
  <si>
    <r>
      <rPr>
        <b val="true"/>
        <sz val="16"/>
        <color rgb="FF0B3C49"/>
        <rFont val="WenQuanYi Zen Hei"/>
        <family val="2"/>
      </rPr>
      <t xml:space="preserve">日程調整アシスタント（</t>
    </r>
    <r>
      <rPr>
        <b val="true"/>
        <sz val="16"/>
        <color rgb="FF0B3C49"/>
        <rFont val="Meiryo UI"/>
        <family val="0"/>
        <charset val="1"/>
      </rPr>
      <t xml:space="preserve">Gmail </t>
    </r>
    <r>
      <rPr>
        <b val="true"/>
        <sz val="16"/>
        <color rgb="FF0B3C49"/>
        <rFont val="WenQuanYi Zen Hei"/>
        <family val="2"/>
      </rPr>
      <t xml:space="preserve">アドオン） テスト仕様書</t>
    </r>
  </si>
  <si>
    <t xml:space="preserve">文書情報</t>
  </si>
  <si>
    <t xml:space="preserve">版数</t>
  </si>
  <si>
    <t xml:space="preserve">1.0</t>
  </si>
  <si>
    <t xml:space="preserve">作成日</t>
  </si>
  <si>
    <t xml:space="preserve">2026/10/16</t>
  </si>
  <si>
    <t xml:space="preserve">作成者</t>
  </si>
  <si>
    <t xml:space="preserve">承認者</t>
  </si>
  <si>
    <t xml:space="preserve">目的</t>
  </si>
  <si>
    <r>
      <rPr>
        <sz val="10"/>
        <color rgb="FF1F2A30"/>
        <rFont val="WenQuanYi Zen Hei"/>
        <family val="2"/>
      </rPr>
      <t xml:space="preserve">本番展開の前に、</t>
    </r>
    <r>
      <rPr>
        <sz val="10"/>
        <color rgb="FF1F2A30"/>
        <rFont val="Meiryo UI"/>
        <family val="0"/>
        <charset val="1"/>
      </rPr>
      <t xml:space="preserve">(1) </t>
    </r>
    <r>
      <rPr>
        <sz val="10"/>
        <color rgb="FF1F2A30"/>
        <rFont val="WenQuanYi Zen Hei"/>
        <family val="2"/>
      </rPr>
      <t xml:space="preserve">機能が仕様どおり動くこと、</t>
    </r>
    <r>
      <rPr>
        <sz val="10"/>
        <color rgb="FF1F2A30"/>
        <rFont val="Meiryo UI"/>
        <family val="0"/>
        <charset val="1"/>
      </rPr>
      <t xml:space="preserve">(2) </t>
    </r>
    <r>
      <rPr>
        <sz val="10"/>
        <color rgb="FF1F2A30"/>
        <rFont val="WenQuanYi Zen Hei"/>
        <family val="2"/>
      </rPr>
      <t xml:space="preserve">実際の取引先メールで実用に耐える精度があること、</t>
    </r>
    <r>
      <rPr>
        <sz val="10"/>
        <color rgb="FF1F2A30"/>
        <rFont val="Meiryo UI"/>
        <family val="0"/>
        <charset val="1"/>
      </rPr>
      <t xml:space="preserve">(3) </t>
    </r>
    <r>
      <rPr>
        <sz val="10"/>
        <color rgb="FF1F2A30"/>
        <rFont val="WenQuanYi Zen Hei"/>
        <family val="2"/>
      </rPr>
      <t xml:space="preserve">業務時間の削減効果があることを検証する。</t>
    </r>
  </si>
  <si>
    <t xml:space="preserve">対象範囲</t>
  </si>
  <si>
    <t xml:space="preserve">対象</t>
  </si>
  <si>
    <r>
      <rPr>
        <sz val="10"/>
        <color rgb="FF1F2A30"/>
        <rFont val="WenQuanYi Zen Hei"/>
        <family val="2"/>
      </rPr>
      <t xml:space="preserve">日程調整アシスタント（</t>
    </r>
    <r>
      <rPr>
        <sz val="10"/>
        <color rgb="FF1F2A30"/>
        <rFont val="Meiryo UI"/>
        <family val="0"/>
        <charset val="1"/>
      </rPr>
      <t xml:space="preserve">src/ </t>
    </r>
    <r>
      <rPr>
        <sz val="10"/>
        <color rgb="FF1F2A30"/>
        <rFont val="WenQuanYi Zen Hei"/>
        <family val="2"/>
      </rPr>
      <t xml:space="preserve">一式）、</t>
    </r>
    <r>
      <rPr>
        <sz val="10"/>
        <color rgb="FF1F2A30"/>
        <rFont val="Meiryo UI"/>
        <family val="0"/>
        <charset val="1"/>
      </rPr>
      <t xml:space="preserve">Google </t>
    </r>
    <r>
      <rPr>
        <sz val="10"/>
        <color rgb="FF1F2A30"/>
        <rFont val="WenQuanYi Zen Hei"/>
        <family val="2"/>
      </rPr>
      <t xml:space="preserve">カレンダー連携、</t>
    </r>
    <r>
      <rPr>
        <sz val="10"/>
        <color rgb="FF1F2A30"/>
        <rFont val="Meiryo UI"/>
        <family val="0"/>
        <charset val="1"/>
      </rPr>
      <t xml:space="preserve">Gmail </t>
    </r>
    <r>
      <rPr>
        <sz val="10"/>
        <color rgb="FF1F2A30"/>
        <rFont val="WenQuanYi Zen Hei"/>
        <family val="2"/>
      </rPr>
      <t xml:space="preserve">下書き作成、</t>
    </r>
    <r>
      <rPr>
        <sz val="10"/>
        <color rgb="FF1F2A30"/>
        <rFont val="Meiryo UI"/>
        <family val="0"/>
        <charset val="1"/>
      </rPr>
      <t xml:space="preserve">Google Meet </t>
    </r>
    <r>
      <rPr>
        <sz val="10"/>
        <color rgb="FF1F2A30"/>
        <rFont val="WenQuanYi Zen Hei"/>
        <family val="2"/>
      </rPr>
      <t xml:space="preserve">発行、社員への展開手順（</t>
    </r>
    <r>
      <rPr>
        <sz val="10"/>
        <color rgb="FF1F2A30"/>
        <rFont val="Meiryo UI"/>
        <family val="0"/>
        <charset val="1"/>
      </rPr>
      <t xml:space="preserve">docs/DEPLOY.md</t>
    </r>
    <r>
      <rPr>
        <sz val="10"/>
        <color rgb="FF1F2A30"/>
        <rFont val="WenQuanYi Zen Hei"/>
        <family val="2"/>
      </rPr>
      <t xml:space="preserve">）</t>
    </r>
  </si>
  <si>
    <t xml:space="preserve">対象外</t>
  </si>
  <si>
    <r>
      <rPr>
        <sz val="10"/>
        <color rgb="FF1F2A30"/>
        <rFont val="Meiryo UI"/>
        <family val="0"/>
        <charset val="1"/>
      </rPr>
      <t xml:space="preserve">Zoom</t>
    </r>
    <r>
      <rPr>
        <sz val="10"/>
        <color rgb="FF1F2A30"/>
        <rFont val="WenQuanYi Zen Hei"/>
        <family val="2"/>
      </rPr>
      <t xml:space="preserve">・</t>
    </r>
    <r>
      <rPr>
        <sz val="10"/>
        <color rgb="FF1F2A30"/>
        <rFont val="Meiryo UI"/>
        <family val="0"/>
        <charset val="1"/>
      </rPr>
      <t xml:space="preserve">Microsoft Teams </t>
    </r>
    <r>
      <rPr>
        <sz val="10"/>
        <color rgb="FF1F2A30"/>
        <rFont val="WenQuanYi Zen Hei"/>
        <family val="2"/>
      </rPr>
      <t xml:space="preserve">連携（未設定のため。設定後に「確定」の該当ケースを追加実施する）</t>
    </r>
  </si>
  <si>
    <t xml:space="preserve">テスト環境</t>
  </si>
  <si>
    <t xml:space="preserve">環境</t>
  </si>
  <si>
    <r>
      <rPr>
        <sz val="10"/>
        <color rgb="FF1F2A30"/>
        <rFont val="WenQuanYi Zen Hei"/>
        <family val="2"/>
      </rPr>
      <t xml:space="preserve">自社 </t>
    </r>
    <r>
      <rPr>
        <sz val="10"/>
        <color rgb="FF1F2A30"/>
        <rFont val="Meiryo UI"/>
        <family val="0"/>
        <charset val="1"/>
      </rPr>
      <t xml:space="preserve">Google Workspace</t>
    </r>
    <r>
      <rPr>
        <sz val="10"/>
        <color rgb="FF1F2A30"/>
        <rFont val="WenQuanYi Zen Hei"/>
        <family val="2"/>
      </rPr>
      <t xml:space="preserve">（本番テナント）、テスト用アカウント </t>
    </r>
    <r>
      <rPr>
        <sz val="10"/>
        <color rgb="FF1F2A30"/>
        <rFont val="Meiryo UI"/>
        <family val="0"/>
        <charset val="1"/>
      </rPr>
      <t xml:space="preserve">3 </t>
    </r>
    <r>
      <rPr>
        <sz val="10"/>
        <color rgb="FF1F2A30"/>
        <rFont val="WenQuanYi Zen Hei"/>
        <family val="2"/>
      </rPr>
      <t xml:space="preserve">名以上（主担当・社内参加者 </t>
    </r>
    <r>
      <rPr>
        <sz val="10"/>
        <color rgb="FF1F2A30"/>
        <rFont val="Meiryo UI"/>
        <family val="0"/>
        <charset val="1"/>
      </rPr>
      <t xml:space="preserve">2 </t>
    </r>
    <r>
      <rPr>
        <sz val="10"/>
        <color rgb="FF1F2A30"/>
        <rFont val="WenQuanYi Zen Hei"/>
        <family val="2"/>
      </rPr>
      <t xml:space="preserve">名）、社外役のアカウント </t>
    </r>
    <r>
      <rPr>
        <sz val="10"/>
        <color rgb="FF1F2A30"/>
        <rFont val="Meiryo UI"/>
        <family val="0"/>
        <charset val="1"/>
      </rPr>
      <t xml:space="preserve">1 </t>
    </r>
    <r>
      <rPr>
        <sz val="10"/>
        <color rgb="FF1F2A30"/>
        <rFont val="WenQuanYi Zen Hei"/>
        <family val="2"/>
      </rPr>
      <t xml:space="preserve">つ（個人 </t>
    </r>
    <r>
      <rPr>
        <sz val="10"/>
        <color rgb="FF1F2A30"/>
        <rFont val="Meiryo UI"/>
        <family val="0"/>
        <charset val="1"/>
      </rPr>
      <t xml:space="preserve">Gmail </t>
    </r>
    <r>
      <rPr>
        <sz val="10"/>
        <color rgb="FF1F2A30"/>
        <rFont val="WenQuanYi Zen Hei"/>
        <family val="2"/>
      </rPr>
      <t xml:space="preserve">等）</t>
    </r>
  </si>
  <si>
    <t xml:space="preserve">ブラウザ</t>
  </si>
  <si>
    <r>
      <rPr>
        <sz val="10"/>
        <color rgb="FF1F2A30"/>
        <rFont val="Meiryo UI"/>
        <family val="0"/>
        <charset val="1"/>
      </rPr>
      <t xml:space="preserve">Google Chrome </t>
    </r>
    <r>
      <rPr>
        <sz val="10"/>
        <color rgb="FF1F2A30"/>
        <rFont val="WenQuanYi Zen Hei"/>
        <family val="2"/>
      </rPr>
      <t xml:space="preserve">最新版（</t>
    </r>
    <r>
      <rPr>
        <sz val="10"/>
        <color rgb="FF1F2A30"/>
        <rFont val="Meiryo UI"/>
        <family val="0"/>
        <charset val="1"/>
      </rPr>
      <t xml:space="preserve">PC</t>
    </r>
    <r>
      <rPr>
        <sz val="10"/>
        <color rgb="FF1F2A30"/>
        <rFont val="WenQuanYi Zen Hei"/>
        <family val="2"/>
      </rPr>
      <t xml:space="preserve">）。参考として </t>
    </r>
    <r>
      <rPr>
        <sz val="10"/>
        <color rgb="FF1F2A30"/>
        <rFont val="Meiryo UI"/>
        <family val="0"/>
        <charset val="1"/>
      </rPr>
      <t xml:space="preserve">Gmail </t>
    </r>
    <r>
      <rPr>
        <sz val="10"/>
        <color rgb="FF1F2A30"/>
        <rFont val="WenQuanYi Zen Hei"/>
        <family val="2"/>
      </rPr>
      <t xml:space="preserve">モバイルアプリでも表示を確認</t>
    </r>
  </si>
  <si>
    <t xml:space="preserve">事前準備</t>
  </si>
  <si>
    <t xml:space="preserve">テスト用アカウントのカレンダーに、空き確認用のダミー予定を登録しておく（各ケースの「前提条件」参照）。社内参加者のカレンダーを「空き時間情報」以上で社内共有しておく。</t>
  </si>
  <si>
    <t xml:space="preserve">テスト工程</t>
  </si>
  <si>
    <r>
      <rPr>
        <b val="true"/>
        <sz val="10"/>
        <color rgb="FF1F2A30"/>
        <rFont val="WenQuanYi Zen Hei"/>
        <family val="2"/>
      </rPr>
      <t xml:space="preserve">工程</t>
    </r>
    <r>
      <rPr>
        <b val="true"/>
        <sz val="10"/>
        <color rgb="FF1F2A30"/>
        <rFont val="Meiryo UI"/>
        <family val="0"/>
        <charset val="1"/>
      </rPr>
      <t xml:space="preserve">1 </t>
    </r>
    <r>
      <rPr>
        <b val="true"/>
        <sz val="10"/>
        <color rgb="FF1F2A30"/>
        <rFont val="WenQuanYi Zen Hei"/>
        <family val="2"/>
      </rPr>
      <t xml:space="preserve">機能テスト</t>
    </r>
  </si>
  <si>
    <r>
      <rPr>
        <sz val="10"/>
        <color rgb="FF1F2A30"/>
        <rFont val="WenQuanYi Zen Hei"/>
        <family val="2"/>
      </rPr>
      <t xml:space="preserve">「テストケース」シートの区分「機能」「エラー」を実施（開発担当・</t>
    </r>
    <r>
      <rPr>
        <sz val="10"/>
        <color rgb="FF1F2A30"/>
        <rFont val="Meiryo UI"/>
        <family val="0"/>
        <charset val="1"/>
      </rPr>
      <t xml:space="preserve">1</t>
    </r>
    <r>
      <rPr>
        <sz val="10"/>
        <color rgb="FF1F2A30"/>
        <rFont val="WenQuanYi Zen Hei"/>
        <family val="2"/>
      </rPr>
      <t xml:space="preserve">〜</t>
    </r>
    <r>
      <rPr>
        <sz val="10"/>
        <color rgb="FF1F2A30"/>
        <rFont val="Meiryo UI"/>
        <family val="0"/>
        <charset val="1"/>
      </rPr>
      <t xml:space="preserve">2</t>
    </r>
    <r>
      <rPr>
        <sz val="10"/>
        <color rgb="FF1F2A30"/>
        <rFont val="WenQuanYi Zen Hei"/>
        <family val="2"/>
      </rPr>
      <t xml:space="preserve">日）</t>
    </r>
  </si>
  <si>
    <r>
      <rPr>
        <b val="true"/>
        <sz val="10"/>
        <color rgb="FF1F2A30"/>
        <rFont val="WenQuanYi Zen Hei"/>
        <family val="2"/>
      </rPr>
      <t xml:space="preserve">工程</t>
    </r>
    <r>
      <rPr>
        <b val="true"/>
        <sz val="10"/>
        <color rgb="FF1F2A30"/>
        <rFont val="Meiryo UI"/>
        <family val="0"/>
        <charset val="1"/>
      </rPr>
      <t xml:space="preserve">2 </t>
    </r>
    <r>
      <rPr>
        <b val="true"/>
        <sz val="10"/>
        <color rgb="FF1F2A30"/>
        <rFont val="WenQuanYi Zen Hei"/>
        <family val="2"/>
      </rPr>
      <t xml:space="preserve">運用・非機能テスト</t>
    </r>
  </si>
  <si>
    <t xml:space="preserve">同シートの区分「運用」「非機能」「セキュリティ」を実施（開発担当＋管理者）</t>
  </si>
  <si>
    <r>
      <rPr>
        <b val="true"/>
        <sz val="10"/>
        <color rgb="FF1F2A30"/>
        <rFont val="WenQuanYi Zen Hei"/>
        <family val="2"/>
      </rPr>
      <t xml:space="preserve">工程</t>
    </r>
    <r>
      <rPr>
        <b val="true"/>
        <sz val="10"/>
        <color rgb="FF1F2A30"/>
        <rFont val="Meiryo UI"/>
        <family val="0"/>
        <charset val="1"/>
      </rPr>
      <t xml:space="preserve">3 </t>
    </r>
    <r>
      <rPr>
        <b val="true"/>
        <sz val="10"/>
        <color rgb="FF1F2A30"/>
        <rFont val="WenQuanYi Zen Hei"/>
        <family val="2"/>
      </rPr>
      <t xml:space="preserve">抽出精度テスト</t>
    </r>
  </si>
  <si>
    <r>
      <rPr>
        <sz val="10"/>
        <color rgb="FF1F2A30"/>
        <rFont val="WenQuanYi Zen Hei"/>
        <family val="2"/>
      </rPr>
      <t xml:space="preserve">「抽出精度テスト」シートに、実際の取引先メールを </t>
    </r>
    <r>
      <rPr>
        <sz val="10"/>
        <color rgb="FF1F2A30"/>
        <rFont val="Meiryo UI"/>
        <family val="0"/>
        <charset val="1"/>
      </rPr>
      <t xml:space="preserve">30 </t>
    </r>
    <r>
      <rPr>
        <sz val="10"/>
        <color rgb="FF1F2A30"/>
        <rFont val="WenQuanYi Zen Hei"/>
        <family val="2"/>
      </rPr>
      <t xml:space="preserve">通以上記録して精度を確認（パイロット参加者）</t>
    </r>
  </si>
  <si>
    <r>
      <rPr>
        <b val="true"/>
        <sz val="10"/>
        <color rgb="FF1F2A30"/>
        <rFont val="WenQuanYi Zen Hei"/>
        <family val="2"/>
      </rPr>
      <t xml:space="preserve">工程</t>
    </r>
    <r>
      <rPr>
        <b val="true"/>
        <sz val="10"/>
        <color rgb="FF1F2A30"/>
        <rFont val="Meiryo UI"/>
        <family val="0"/>
        <charset val="1"/>
      </rPr>
      <t xml:space="preserve">4 </t>
    </r>
    <r>
      <rPr>
        <b val="true"/>
        <sz val="10"/>
        <color rgb="FF1F2A30"/>
        <rFont val="WenQuanYi Zen Hei"/>
        <family val="2"/>
      </rPr>
      <t xml:space="preserve">受入（パイロット）</t>
    </r>
  </si>
  <si>
    <r>
      <rPr>
        <sz val="10"/>
        <color rgb="FF1F2A30"/>
        <rFont val="WenQuanYi Zen Hei"/>
        <family val="2"/>
      </rPr>
      <t xml:space="preserve">「効果測定」シートに実案件での所要時間・満足度を記録（パイロット参加者・</t>
    </r>
    <r>
      <rPr>
        <sz val="10"/>
        <color rgb="FF1F2A30"/>
        <rFont val="Meiryo UI"/>
        <family val="0"/>
        <charset val="1"/>
      </rPr>
      <t xml:space="preserve">2</t>
    </r>
    <r>
      <rPr>
        <sz val="10"/>
        <color rgb="FF1F2A30"/>
        <rFont val="WenQuanYi Zen Hei"/>
        <family val="2"/>
      </rPr>
      <t xml:space="preserve">週間）</t>
    </r>
  </si>
  <si>
    <t xml:space="preserve">合格基準（案）</t>
  </si>
  <si>
    <t xml:space="preserve">機能</t>
  </si>
  <si>
    <r>
      <rPr>
        <sz val="10"/>
        <color rgb="FF1F2A30"/>
        <rFont val="WenQuanYi Zen Hei"/>
        <family val="2"/>
      </rPr>
      <t xml:space="preserve">優先度「高」のテストケースがすべて </t>
    </r>
    <r>
      <rPr>
        <sz val="10"/>
        <color rgb="FF1F2A30"/>
        <rFont val="Meiryo UI"/>
        <family val="0"/>
        <charset val="1"/>
      </rPr>
      <t xml:space="preserve">OK</t>
    </r>
    <r>
      <rPr>
        <sz val="10"/>
        <color rgb="FF1F2A30"/>
        <rFont val="WenQuanYi Zen Hei"/>
        <family val="2"/>
      </rPr>
      <t xml:space="preserve">、かつ未解決の重要度「高」の不具合が </t>
    </r>
    <r>
      <rPr>
        <sz val="10"/>
        <color rgb="FF1F2A30"/>
        <rFont val="Meiryo UI"/>
        <family val="0"/>
        <charset val="1"/>
      </rPr>
      <t xml:space="preserve">0 </t>
    </r>
    <r>
      <rPr>
        <sz val="10"/>
        <color rgb="FF1F2A30"/>
        <rFont val="WenQuanYi Zen Hei"/>
        <family val="2"/>
      </rPr>
      <t xml:space="preserve">件</t>
    </r>
  </si>
  <si>
    <t xml:space="preserve">抽出精度</t>
  </si>
  <si>
    <r>
      <rPr>
        <sz val="10"/>
        <color rgb="FF1F2A30"/>
        <rFont val="WenQuanYi Zen Hei"/>
        <family val="2"/>
      </rPr>
      <t xml:space="preserve">候補日の抽出一致率 </t>
    </r>
    <r>
      <rPr>
        <sz val="10"/>
        <color rgb="FF1F2A30"/>
        <rFont val="Meiryo UI"/>
        <family val="0"/>
        <charset val="1"/>
      </rPr>
      <t xml:space="preserve">80% </t>
    </r>
    <r>
      <rPr>
        <sz val="10"/>
        <color rgb="FF1F2A30"/>
        <rFont val="WenQuanYi Zen Hei"/>
        <family val="2"/>
      </rPr>
      <t xml:space="preserve">以上（「集計」シートで自動計算）</t>
    </r>
  </si>
  <si>
    <t xml:space="preserve">効果</t>
  </si>
  <si>
    <r>
      <rPr>
        <sz val="10"/>
        <color rgb="FF1F2A30"/>
        <rFont val="Meiryo UI"/>
        <family val="0"/>
        <charset val="1"/>
      </rPr>
      <t xml:space="preserve">1 </t>
    </r>
    <r>
      <rPr>
        <sz val="10"/>
        <color rgb="FF1F2A30"/>
        <rFont val="WenQuanYi Zen Hei"/>
        <family val="2"/>
      </rPr>
      <t xml:space="preserve">案件あたりの調整時間が導入前より短縮され、利用者満足度の平均が </t>
    </r>
    <r>
      <rPr>
        <sz val="10"/>
        <color rgb="FF1F2A30"/>
        <rFont val="Meiryo UI"/>
        <family val="0"/>
        <charset val="1"/>
      </rPr>
      <t xml:space="preserve">3.5 </t>
    </r>
    <r>
      <rPr>
        <sz val="10"/>
        <color rgb="FF1F2A30"/>
        <rFont val="WenQuanYi Zen Hei"/>
        <family val="2"/>
      </rPr>
      <t xml:space="preserve">以上（</t>
    </r>
    <r>
      <rPr>
        <sz val="10"/>
        <color rgb="FF1F2A30"/>
        <rFont val="Meiryo UI"/>
        <family val="0"/>
        <charset val="1"/>
      </rPr>
      <t xml:space="preserve">5 </t>
    </r>
    <r>
      <rPr>
        <sz val="10"/>
        <color rgb="FF1F2A30"/>
        <rFont val="WenQuanYi Zen Hei"/>
        <family val="2"/>
      </rPr>
      <t xml:space="preserve">段階）</t>
    </r>
  </si>
  <si>
    <t xml:space="preserve">記入ルール</t>
  </si>
  <si>
    <t xml:space="preserve">入力セル</t>
  </si>
  <si>
    <t xml:space="preserve">黄色のセルが記入欄です（結果・実施日・実施者・備考など）。それ以外のセルは編集しないでください。</t>
  </si>
  <si>
    <t xml:space="preserve">結果の値</t>
  </si>
  <si>
    <r>
      <rPr>
        <sz val="10"/>
        <color rgb="FF1F2A30"/>
        <rFont val="Meiryo UI"/>
        <family val="0"/>
        <charset val="1"/>
      </rPr>
      <t xml:space="preserve">OK</t>
    </r>
    <r>
      <rPr>
        <sz val="10"/>
        <color rgb="FF1F2A30"/>
        <rFont val="WenQuanYi Zen Hei"/>
        <family val="2"/>
      </rPr>
      <t xml:space="preserve">＝期待結果どおり ／ </t>
    </r>
    <r>
      <rPr>
        <sz val="10"/>
        <color rgb="FF1F2A30"/>
        <rFont val="Meiryo UI"/>
        <family val="0"/>
        <charset val="1"/>
      </rPr>
      <t xml:space="preserve">NG</t>
    </r>
    <r>
      <rPr>
        <sz val="10"/>
        <color rgb="FF1F2A30"/>
        <rFont val="WenQuanYi Zen Hei"/>
        <family val="2"/>
      </rPr>
      <t xml:space="preserve">＝期待結果と異なる（「不具合管理」に起票） ／ 保留＝環境等の理由で実施できず ／ 対象外＝今回は実施しない</t>
    </r>
  </si>
  <si>
    <t xml:space="preserve">記入例</t>
  </si>
  <si>
    <r>
      <rPr>
        <sz val="10"/>
        <color rgb="FF1F2A30"/>
        <rFont val="WenQuanYi Zen Hei"/>
        <family val="2"/>
      </rPr>
      <t xml:space="preserve">結果「</t>
    </r>
    <r>
      <rPr>
        <sz val="10"/>
        <color rgb="FF1F2A30"/>
        <rFont val="Meiryo UI"/>
        <family val="0"/>
        <charset val="1"/>
      </rPr>
      <t xml:space="preserve">OK</t>
    </r>
    <r>
      <rPr>
        <sz val="10"/>
        <color rgb="FF1F2A30"/>
        <rFont val="WenQuanYi Zen Hei"/>
        <family val="2"/>
      </rPr>
      <t xml:space="preserve">」、実施日「</t>
    </r>
    <r>
      <rPr>
        <sz val="10"/>
        <color rgb="FF1F2A30"/>
        <rFont val="Meiryo UI"/>
        <family val="0"/>
        <charset val="1"/>
      </rPr>
      <t xml:space="preserve">2026/10/20</t>
    </r>
    <r>
      <rPr>
        <sz val="10"/>
        <color rgb="FF1F2A30"/>
        <rFont val="WenQuanYi Zen Hei"/>
        <family val="2"/>
      </rPr>
      <t xml:space="preserve">」、実施者「山田」、備考「</t>
    </r>
    <r>
      <rPr>
        <sz val="10"/>
        <color rgb="FF1F2A30"/>
        <rFont val="Meiryo UI"/>
        <family val="0"/>
        <charset val="1"/>
      </rPr>
      <t xml:space="preserve">Chrome </t>
    </r>
    <r>
      <rPr>
        <sz val="10"/>
        <color rgb="FF1F2A30"/>
        <rFont val="WenQuanYi Zen Hei"/>
        <family val="2"/>
      </rPr>
      <t xml:space="preserve">で確認」。</t>
    </r>
    <r>
      <rPr>
        <sz val="10"/>
        <color rgb="FF1F2A30"/>
        <rFont val="Meiryo UI"/>
        <family val="0"/>
        <charset val="1"/>
      </rPr>
      <t xml:space="preserve">NG </t>
    </r>
    <r>
      <rPr>
        <sz val="10"/>
        <color rgb="FF1F2A30"/>
        <rFont val="WenQuanYi Zen Hei"/>
        <family val="2"/>
      </rPr>
      <t xml:space="preserve">の場合は備考に不具合 </t>
    </r>
    <r>
      <rPr>
        <sz val="10"/>
        <color rgb="FF1F2A30"/>
        <rFont val="Meiryo UI"/>
        <family val="0"/>
        <charset val="1"/>
      </rPr>
      <t xml:space="preserve">No.</t>
    </r>
    <r>
      <rPr>
        <sz val="10"/>
        <color rgb="FF1F2A30"/>
        <rFont val="WenQuanYi Zen Hei"/>
        <family val="2"/>
      </rPr>
      <t xml:space="preserve">（例：</t>
    </r>
    <r>
      <rPr>
        <sz val="10"/>
        <color rgb="FF1F2A30"/>
        <rFont val="Meiryo UI"/>
        <family val="0"/>
        <charset val="1"/>
      </rPr>
      <t xml:space="preserve">BUG-001</t>
    </r>
    <r>
      <rPr>
        <sz val="10"/>
        <color rgb="FF1F2A30"/>
        <rFont val="WenQuanYi Zen Hei"/>
        <family val="2"/>
      </rPr>
      <t xml:space="preserve">）を記入</t>
    </r>
  </si>
  <si>
    <t xml:space="preserve">テスト進捗・結果の集計</t>
  </si>
  <si>
    <t xml:space="preserve">「テストケース」「抽出精度テスト」「効果測定」「不具合管理」から自動計算されます（編集不要）。</t>
  </si>
  <si>
    <t xml:space="preserve">大分類</t>
  </si>
  <si>
    <t xml:space="preserve">ケース数</t>
  </si>
  <si>
    <t xml:space="preserve">OK</t>
  </si>
  <si>
    <t xml:space="preserve">NG</t>
  </si>
  <si>
    <t xml:space="preserve">保留</t>
  </si>
  <si>
    <t xml:space="preserve">未実施</t>
  </si>
  <si>
    <t xml:space="preserve">消化率</t>
  </si>
  <si>
    <t xml:space="preserve">合格率</t>
  </si>
  <si>
    <r>
      <rPr>
        <sz val="10"/>
        <color rgb="FF1F2A30"/>
        <rFont val="Meiryo UI"/>
        <family val="0"/>
        <charset val="1"/>
      </rPr>
      <t xml:space="preserve">1 </t>
    </r>
    <r>
      <rPr>
        <sz val="10"/>
        <color rgb="FF1F2A30"/>
        <rFont val="WenQuanYi Zen Hei"/>
        <family val="2"/>
      </rPr>
      <t xml:space="preserve">導入・初期設定</t>
    </r>
  </si>
  <si>
    <r>
      <rPr>
        <sz val="10"/>
        <color rgb="FF1F2A30"/>
        <rFont val="Meiryo UI"/>
        <family val="0"/>
        <charset val="1"/>
      </rPr>
      <t xml:space="preserve">2 </t>
    </r>
    <r>
      <rPr>
        <sz val="10"/>
        <color rgb="FF1F2A30"/>
        <rFont val="WenQuanYi Zen Hei"/>
        <family val="2"/>
      </rPr>
      <t xml:space="preserve">候補日の抽出</t>
    </r>
  </si>
  <si>
    <r>
      <rPr>
        <sz val="10"/>
        <color rgb="FF1F2A30"/>
        <rFont val="Meiryo UI"/>
        <family val="0"/>
        <charset val="1"/>
      </rPr>
      <t xml:space="preserve">3 </t>
    </r>
    <r>
      <rPr>
        <sz val="10"/>
        <color rgb="FF1F2A30"/>
        <rFont val="WenQuanYi Zen Hei"/>
        <family val="2"/>
      </rPr>
      <t xml:space="preserve">案件情報</t>
    </r>
  </si>
  <si>
    <r>
      <rPr>
        <sz val="10"/>
        <color rgb="FF1F2A30"/>
        <rFont val="Meiryo UI"/>
        <family val="0"/>
        <charset val="1"/>
      </rPr>
      <t xml:space="preserve">4 </t>
    </r>
    <r>
      <rPr>
        <sz val="10"/>
        <color rgb="FF1F2A30"/>
        <rFont val="WenQuanYi Zen Hei"/>
        <family val="2"/>
      </rPr>
      <t xml:space="preserve">社内参加者</t>
    </r>
  </si>
  <si>
    <r>
      <rPr>
        <sz val="10"/>
        <color rgb="FF1F2A30"/>
        <rFont val="Meiryo UI"/>
        <family val="0"/>
        <charset val="1"/>
      </rPr>
      <t xml:space="preserve">5 </t>
    </r>
    <r>
      <rPr>
        <sz val="10"/>
        <color rgb="FF1F2A30"/>
        <rFont val="WenQuanYi Zen Hei"/>
        <family val="2"/>
      </rPr>
      <t xml:space="preserve">空き状況の確認</t>
    </r>
  </si>
  <si>
    <r>
      <rPr>
        <sz val="10"/>
        <color rgb="FF1F2A30"/>
        <rFont val="Meiryo UI"/>
        <family val="0"/>
        <charset val="1"/>
      </rPr>
      <t xml:space="preserve">6 </t>
    </r>
    <r>
      <rPr>
        <sz val="10"/>
        <color rgb="FF1F2A30"/>
        <rFont val="WenQuanYi Zen Hei"/>
        <family val="2"/>
      </rPr>
      <t xml:space="preserve">新規で作成</t>
    </r>
  </si>
  <si>
    <r>
      <rPr>
        <sz val="10"/>
        <color rgb="FF1F2A30"/>
        <rFont val="Meiryo UI"/>
        <family val="0"/>
        <charset val="1"/>
      </rPr>
      <t xml:space="preserve">7 </t>
    </r>
    <r>
      <rPr>
        <sz val="10"/>
        <color rgb="FF1F2A30"/>
        <rFont val="WenQuanYi Zen Hei"/>
        <family val="2"/>
      </rPr>
      <t xml:space="preserve">仮押さえ・下書き</t>
    </r>
  </si>
  <si>
    <r>
      <rPr>
        <sz val="10"/>
        <color rgb="FF1F2A30"/>
        <rFont val="Meiryo UI"/>
        <family val="0"/>
        <charset val="1"/>
      </rPr>
      <t xml:space="preserve">8 </t>
    </r>
    <r>
      <rPr>
        <sz val="10"/>
        <color rgb="FF1F2A30"/>
        <rFont val="WenQuanYi Zen Hei"/>
        <family val="2"/>
      </rPr>
      <t xml:space="preserve">日程確定</t>
    </r>
  </si>
  <si>
    <r>
      <rPr>
        <sz val="10"/>
        <color rgb="FF1F2A30"/>
        <rFont val="Meiryo UI"/>
        <family val="0"/>
        <charset val="1"/>
      </rPr>
      <t xml:space="preserve">9 </t>
    </r>
    <r>
      <rPr>
        <sz val="10"/>
        <color rgb="FF1F2A30"/>
        <rFont val="WenQuanYi Zen Hei"/>
        <family val="2"/>
      </rPr>
      <t xml:space="preserve">変更・中止</t>
    </r>
  </si>
  <si>
    <r>
      <rPr>
        <sz val="10"/>
        <color rgb="FF1F2A30"/>
        <rFont val="Meiryo UI"/>
        <family val="0"/>
        <charset val="1"/>
      </rPr>
      <t xml:space="preserve">10 </t>
    </r>
    <r>
      <rPr>
        <sz val="10"/>
        <color rgb="FF1F2A30"/>
        <rFont val="WenQuanYi Zen Hei"/>
        <family val="2"/>
      </rPr>
      <t xml:space="preserve">非機能・運用</t>
    </r>
  </si>
  <si>
    <t xml:space="preserve">合計</t>
  </si>
  <si>
    <t xml:space="preserve">合格判定</t>
  </si>
  <si>
    <t xml:space="preserve">指標</t>
  </si>
  <si>
    <t xml:space="preserve">値</t>
  </si>
  <si>
    <t xml:space="preserve">目標（案）</t>
  </si>
  <si>
    <t xml:space="preserve">判定</t>
  </si>
  <si>
    <t xml:space="preserve">優先度「高」のケース数</t>
  </si>
  <si>
    <r>
      <rPr>
        <sz val="10"/>
        <color rgb="FF1F2A30"/>
        <rFont val="WenQuanYi Zen Hei"/>
        <family val="2"/>
      </rPr>
      <t xml:space="preserve">優先度「高」の </t>
    </r>
    <r>
      <rPr>
        <sz val="10"/>
        <color rgb="FF1F2A30"/>
        <rFont val="Meiryo UI"/>
        <family val="0"/>
        <charset val="1"/>
      </rPr>
      <t xml:space="preserve">OK </t>
    </r>
    <r>
      <rPr>
        <sz val="10"/>
        <color rgb="FF1F2A30"/>
        <rFont val="WenQuanYi Zen Hei"/>
        <family val="2"/>
      </rPr>
      <t xml:space="preserve">数</t>
    </r>
  </si>
  <si>
    <t xml:space="preserve">未解決の重要度「高」の不具合</t>
  </si>
  <si>
    <r>
      <rPr>
        <sz val="10"/>
        <color rgb="FF1F2A30"/>
        <rFont val="Meiryo UI"/>
        <family val="0"/>
        <charset val="1"/>
      </rPr>
      <t xml:space="preserve">0 </t>
    </r>
    <r>
      <rPr>
        <sz val="10"/>
        <color rgb="FF1F2A30"/>
        <rFont val="WenQuanYi Zen Hei"/>
        <family val="2"/>
      </rPr>
      <t xml:space="preserve">件</t>
    </r>
  </si>
  <si>
    <t xml:space="preserve">実メールの記録数</t>
  </si>
  <si>
    <r>
      <rPr>
        <sz val="10"/>
        <color rgb="FF1F2A30"/>
        <rFont val="Meiryo UI"/>
        <family val="0"/>
        <charset val="1"/>
      </rPr>
      <t xml:space="preserve">30 </t>
    </r>
    <r>
      <rPr>
        <sz val="10"/>
        <color rgb="FF1F2A30"/>
        <rFont val="WenQuanYi Zen Hei"/>
        <family val="2"/>
      </rPr>
      <t xml:space="preserve">件以上</t>
    </r>
  </si>
  <si>
    <t xml:space="preserve">抽出一致率（実メール・○の割合）</t>
  </si>
  <si>
    <r>
      <rPr>
        <sz val="10"/>
        <color rgb="FF1F2A30"/>
        <rFont val="Meiryo UI"/>
        <family val="0"/>
        <charset val="1"/>
      </rPr>
      <t xml:space="preserve">80% </t>
    </r>
    <r>
      <rPr>
        <sz val="10"/>
        <color rgb="FF1F2A30"/>
        <rFont val="WenQuanYi Zen Hei"/>
        <family val="2"/>
      </rPr>
      <t xml:space="preserve">以上</t>
    </r>
  </si>
  <si>
    <t xml:space="preserve">確定日の検出率（実メール）</t>
  </si>
  <si>
    <t xml:space="preserve">（参考）</t>
  </si>
  <si>
    <r>
      <rPr>
        <sz val="10"/>
        <color rgb="FF1F2A30"/>
        <rFont val="WenQuanYi Zen Hei"/>
        <family val="2"/>
      </rPr>
      <t xml:space="preserve">平均削減時間（分</t>
    </r>
    <r>
      <rPr>
        <sz val="10"/>
        <color rgb="FF1F2A30"/>
        <rFont val="Meiryo UI"/>
        <family val="0"/>
        <charset val="1"/>
      </rPr>
      <t xml:space="preserve">/</t>
    </r>
    <r>
      <rPr>
        <sz val="10"/>
        <color rgb="FF1F2A30"/>
        <rFont val="WenQuanYi Zen Hei"/>
        <family val="2"/>
      </rPr>
      <t xml:space="preserve">件）</t>
    </r>
  </si>
  <si>
    <r>
      <rPr>
        <sz val="10"/>
        <color rgb="FF1F2A30"/>
        <rFont val="Meiryo UI"/>
        <family val="0"/>
        <charset val="1"/>
      </rPr>
      <t xml:space="preserve">0 </t>
    </r>
    <r>
      <rPr>
        <sz val="10"/>
        <color rgb="FF1F2A30"/>
        <rFont val="WenQuanYi Zen Hei"/>
        <family val="2"/>
      </rPr>
      <t xml:space="preserve">より大きい</t>
    </r>
  </si>
  <si>
    <r>
      <rPr>
        <sz val="10"/>
        <color rgb="FF1F2A30"/>
        <rFont val="WenQuanYi Zen Hei"/>
        <family val="2"/>
      </rPr>
      <t xml:space="preserve">平均満足度（</t>
    </r>
    <r>
      <rPr>
        <sz val="10"/>
        <color rgb="FF1F2A30"/>
        <rFont val="Meiryo UI"/>
        <family val="0"/>
        <charset val="1"/>
      </rPr>
      <t xml:space="preserve">5</t>
    </r>
    <r>
      <rPr>
        <sz val="10"/>
        <color rgb="FF1F2A30"/>
        <rFont val="WenQuanYi Zen Hei"/>
        <family val="2"/>
      </rPr>
      <t xml:space="preserve">段階）</t>
    </r>
  </si>
  <si>
    <r>
      <rPr>
        <sz val="10"/>
        <color rgb="FF1F2A30"/>
        <rFont val="Meiryo UI"/>
        <family val="0"/>
        <charset val="1"/>
      </rPr>
      <t xml:space="preserve">3.5 </t>
    </r>
    <r>
      <rPr>
        <sz val="10"/>
        <color rgb="FF1F2A30"/>
        <rFont val="WenQuanYi Zen Hei"/>
        <family val="2"/>
      </rPr>
      <t xml:space="preserve">以上</t>
    </r>
  </si>
  <si>
    <t xml:space="preserve">※ 目標値は案です。「表紙」の合格基準とあわせて、関係者で合意のうえ調整してください。</t>
  </si>
  <si>
    <t xml:space="preserve">No.</t>
  </si>
  <si>
    <t xml:space="preserve">中分類</t>
  </si>
  <si>
    <t xml:space="preserve">テスト項目</t>
  </si>
  <si>
    <t xml:space="preserve">前提条件</t>
  </si>
  <si>
    <t xml:space="preserve">手順</t>
  </si>
  <si>
    <t xml:space="preserve">期待結果</t>
  </si>
  <si>
    <t xml:space="preserve">優先度</t>
  </si>
  <si>
    <t xml:space="preserve">区分</t>
  </si>
  <si>
    <t xml:space="preserve">結果</t>
  </si>
  <si>
    <t xml:space="preserve">実施日</t>
  </si>
  <si>
    <t xml:space="preserve">実施者</t>
  </si>
  <si>
    <r>
      <rPr>
        <b val="true"/>
        <sz val="10"/>
        <color rgb="FFFFFFFF"/>
        <rFont val="WenQuanYi Zen Hei"/>
        <family val="2"/>
      </rPr>
      <t xml:space="preserve">備考・不具合</t>
    </r>
    <r>
      <rPr>
        <b val="true"/>
        <sz val="10"/>
        <color rgb="FFFFFFFF"/>
        <rFont val="Meiryo UI"/>
        <family val="0"/>
        <charset val="1"/>
      </rPr>
      <t xml:space="preserve">No.</t>
    </r>
  </si>
  <si>
    <t xml:space="preserve">TC-001</t>
  </si>
  <si>
    <t xml:space="preserve">インストール</t>
  </si>
  <si>
    <t xml:space="preserve">アドオンが表示される</t>
  </si>
  <si>
    <t xml:space="preserve">管理者インストール済み</t>
  </si>
  <si>
    <r>
      <rPr>
        <sz val="10"/>
        <color rgb="FF1F2A30"/>
        <rFont val="Meiryo UI"/>
        <family val="0"/>
        <charset val="1"/>
      </rPr>
      <t xml:space="preserve">Gmail </t>
    </r>
    <r>
      <rPr>
        <sz val="10"/>
        <color rgb="FF1F2A30"/>
        <rFont val="WenQuanYi Zen Hei"/>
        <family val="2"/>
      </rPr>
      <t xml:space="preserve">を開き、メールを</t>
    </r>
    <r>
      <rPr>
        <sz val="10"/>
        <color rgb="FF1F2A30"/>
        <rFont val="Meiryo UI"/>
        <family val="0"/>
        <charset val="1"/>
      </rPr>
      <t xml:space="preserve">1</t>
    </r>
    <r>
      <rPr>
        <sz val="10"/>
        <color rgb="FF1F2A30"/>
        <rFont val="WenQuanYi Zen Hei"/>
        <family val="2"/>
      </rPr>
      <t xml:space="preserve">通開く</t>
    </r>
  </si>
  <si>
    <t xml:space="preserve">右側のパネルに日程調整アシスタントのアイコンが表示され、クリックでサイドバーが開く</t>
  </si>
  <si>
    <t xml:space="preserve">高</t>
  </si>
  <si>
    <t xml:space="preserve">TC-002</t>
  </si>
  <si>
    <t xml:space="preserve">初回の権限承認</t>
  </si>
  <si>
    <t xml:space="preserve">初めて利用するアカウント</t>
  </si>
  <si>
    <t xml:space="preserve">サイドバーを開く</t>
  </si>
  <si>
    <t xml:space="preserve">権限承認が求められる（管理者インストール時は求められない）。承認後に画面が表示される</t>
  </si>
  <si>
    <t xml:space="preserve">中</t>
  </si>
  <si>
    <t xml:space="preserve">TC-003</t>
  </si>
  <si>
    <t xml:space="preserve">設定</t>
  </si>
  <si>
    <t xml:space="preserve">設定の保存と再表示</t>
  </si>
  <si>
    <t xml:space="preserve">なし</t>
  </si>
  <si>
    <t xml:space="preserve">「︙」→「設定」で自社名・氏名・署名・社内ドメイン・よく使うメンバーを入力して保存。再度設定を開く</t>
  </si>
  <si>
    <t xml:space="preserve">「設定を保存しました」と表示され、再表示時に入力値が保持されている</t>
  </si>
  <si>
    <t xml:space="preserve">TC-004</t>
  </si>
  <si>
    <t xml:space="preserve">署名が空欄の場合</t>
  </si>
  <si>
    <t xml:space="preserve">署名を空欄で保存</t>
  </si>
  <si>
    <t xml:space="preserve">候補日の下書きを作成する</t>
  </si>
  <si>
    <t xml:space="preserve">本文末尾に「自社名」「氏名」が署名として入る</t>
  </si>
  <si>
    <t xml:space="preserve">低</t>
  </si>
  <si>
    <t xml:space="preserve">TC-005</t>
  </si>
  <si>
    <t xml:space="preserve">よく使うメンバーの選択肢</t>
  </si>
  <si>
    <r>
      <rPr>
        <sz val="10"/>
        <color rgb="FF1F2A30"/>
        <rFont val="WenQuanYi Zen Hei"/>
        <family val="2"/>
      </rPr>
      <t xml:space="preserve">設定に「山田 花子 </t>
    </r>
    <r>
      <rPr>
        <sz val="10"/>
        <color rgb="FF1F2A30"/>
        <rFont val="Meiryo UI"/>
        <family val="0"/>
        <charset val="1"/>
      </rPr>
      <t xml:space="preserve">&lt;yamada@…&gt;</t>
    </r>
    <r>
      <rPr>
        <sz val="10"/>
        <color rgb="FF1F2A30"/>
        <rFont val="WenQuanYi Zen Hei"/>
        <family val="2"/>
      </rPr>
      <t xml:space="preserve">」形式で</t>
    </r>
    <r>
      <rPr>
        <sz val="10"/>
        <color rgb="FF1F2A30"/>
        <rFont val="Meiryo UI"/>
        <family val="0"/>
        <charset val="1"/>
      </rPr>
      <t xml:space="preserve">2</t>
    </r>
    <r>
      <rPr>
        <sz val="10"/>
        <color rgb="FF1F2A30"/>
        <rFont val="WenQuanYi Zen Hei"/>
        <family val="2"/>
      </rPr>
      <t xml:space="preserve">名登録</t>
    </r>
  </si>
  <si>
    <t xml:space="preserve">メールを開く</t>
  </si>
  <si>
    <r>
      <rPr>
        <sz val="10"/>
        <color rgb="FF1F2A30"/>
        <rFont val="WenQuanYi Zen Hei"/>
        <family val="2"/>
      </rPr>
      <t xml:space="preserve">③社内の参加者に</t>
    </r>
    <r>
      <rPr>
        <sz val="10"/>
        <color rgb="FF1F2A30"/>
        <rFont val="Meiryo UI"/>
        <family val="0"/>
        <charset val="1"/>
      </rPr>
      <t xml:space="preserve">2</t>
    </r>
    <r>
      <rPr>
        <sz val="10"/>
        <color rgb="FF1F2A30"/>
        <rFont val="WenQuanYi Zen Hei"/>
        <family val="2"/>
      </rPr>
      <t xml:space="preserve">名がチェックボックスで表示される</t>
    </r>
  </si>
  <si>
    <t xml:space="preserve">TC-006</t>
  </si>
  <si>
    <t xml:space="preserve">件名テンプレートの変更</t>
  </si>
  <si>
    <r>
      <rPr>
        <sz val="10"/>
        <color rgb="FF1F2A30"/>
        <rFont val="WenQuanYi Zen Hei"/>
        <family val="2"/>
      </rPr>
      <t xml:space="preserve">件名テンプレートを「</t>
    </r>
    <r>
      <rPr>
        <sz val="10"/>
        <color rgb="FF1F2A30"/>
        <rFont val="Meiryo UI"/>
        <family val="0"/>
        <charset val="1"/>
      </rPr>
      <t xml:space="preserve">{status}{company}</t>
    </r>
    <r>
      <rPr>
        <sz val="10"/>
        <color rgb="FF1F2A30"/>
        <rFont val="WenQuanYi Zen Hei"/>
        <family val="2"/>
      </rPr>
      <t xml:space="preserve">｜</t>
    </r>
    <r>
      <rPr>
        <sz val="10"/>
        <color rgb="FF1F2A30"/>
        <rFont val="Meiryo UI"/>
        <family val="0"/>
        <charset val="1"/>
      </rPr>
      <t xml:space="preserve">{project}</t>
    </r>
    <r>
      <rPr>
        <sz val="10"/>
        <color rgb="FF1F2A30"/>
        <rFont val="WenQuanYi Zen Hei"/>
        <family val="2"/>
      </rPr>
      <t xml:space="preserve">」に変更</t>
    </r>
  </si>
  <si>
    <t xml:space="preserve">下書きを作成する</t>
  </si>
  <si>
    <t xml:space="preserve">件名が変更したテンプレートどおりになる。テンプレートを空欄で保存すると既定の書式に戻る</t>
  </si>
  <si>
    <t xml:space="preserve">TC-007</t>
  </si>
  <si>
    <t xml:space="preserve">社外メールの判定</t>
  </si>
  <si>
    <t xml:space="preserve">社内ドメインを設定済み</t>
  </si>
  <si>
    <t xml:space="preserve">社外ドメインからのメールと社内からのメールをそれぞれ開く</t>
  </si>
  <si>
    <t xml:space="preserve">社外のメールでは副題が「外部からのメール」、社内のメールでは「メールから」になる</t>
  </si>
  <si>
    <t xml:space="preserve">TC-008</t>
  </si>
  <si>
    <t xml:space="preserve">書式</t>
  </si>
  <si>
    <t xml:space="preserve">箇条書きの候補</t>
  </si>
  <si>
    <r>
      <rPr>
        <sz val="10"/>
        <color rgb="FF1F2A30"/>
        <rFont val="WenQuanYi Zen Hei"/>
        <family val="2"/>
      </rPr>
      <t xml:space="preserve">本文「・</t>
    </r>
    <r>
      <rPr>
        <sz val="10"/>
        <color rgb="FF1F2A30"/>
        <rFont val="Meiryo UI"/>
        <family val="0"/>
        <charset val="1"/>
      </rPr>
      <t xml:space="preserve">9/15</t>
    </r>
    <r>
      <rPr>
        <sz val="10"/>
        <color rgb="FF1F2A30"/>
        <rFont val="WenQuanYi Zen Hei"/>
        <family val="2"/>
      </rPr>
      <t xml:space="preserve">（月）</t>
    </r>
    <r>
      <rPr>
        <sz val="10"/>
        <color rgb="FF1F2A30"/>
        <rFont val="Meiryo UI"/>
        <family val="0"/>
        <charset val="1"/>
      </rPr>
      <t xml:space="preserve">13:00</t>
    </r>
    <r>
      <rPr>
        <sz val="10"/>
        <color rgb="FF1F2A30"/>
        <rFont val="WenQuanYi Zen Hei"/>
        <family val="2"/>
      </rPr>
      <t xml:space="preserve">〜</t>
    </r>
    <r>
      <rPr>
        <sz val="10"/>
        <color rgb="FF1F2A30"/>
        <rFont val="Meiryo UI"/>
        <family val="0"/>
        <charset val="1"/>
      </rPr>
      <t xml:space="preserve">14:00</t>
    </r>
    <r>
      <rPr>
        <sz val="10"/>
        <color rgb="FF1F2A30"/>
        <rFont val="WenQuanYi Zen Hei"/>
        <family val="2"/>
      </rPr>
      <t xml:space="preserve">」形式で</t>
    </r>
    <r>
      <rPr>
        <sz val="10"/>
        <color rgb="FF1F2A30"/>
        <rFont val="Meiryo UI"/>
        <family val="0"/>
        <charset val="1"/>
      </rPr>
      <t xml:space="preserve">3</t>
    </r>
    <r>
      <rPr>
        <sz val="10"/>
        <color rgb="FF1F2A30"/>
        <rFont val="WenQuanYi Zen Hei"/>
        <family val="2"/>
      </rPr>
      <t xml:space="preserve">件</t>
    </r>
  </si>
  <si>
    <r>
      <rPr>
        <sz val="10"/>
        <color rgb="FF1F2A30"/>
        <rFont val="Meiryo UI"/>
        <family val="0"/>
        <charset val="1"/>
      </rPr>
      <t xml:space="preserve">3</t>
    </r>
    <r>
      <rPr>
        <sz val="10"/>
        <color rgb="FF1F2A30"/>
        <rFont val="WenQuanYi Zen Hei"/>
        <family val="2"/>
      </rPr>
      <t xml:space="preserve">件がすべて抽出され、チェックが入った状態で表示される</t>
    </r>
  </si>
  <si>
    <t xml:space="preserve">TC-009</t>
  </si>
  <si>
    <t xml:space="preserve">漢字・全角表記</t>
  </si>
  <si>
    <t xml:space="preserve">本文「９月２０日（日） １４時～１５時半」</t>
  </si>
  <si>
    <r>
      <rPr>
        <sz val="10"/>
        <color rgb="FF1F2A30"/>
        <rFont val="Meiryo UI"/>
        <family val="0"/>
        <charset val="1"/>
      </rPr>
      <t xml:space="preserve">9/20 14:00</t>
    </r>
    <r>
      <rPr>
        <sz val="10"/>
        <color rgb="FF1F2A30"/>
        <rFont val="WenQuanYi Zen Hei"/>
        <family val="2"/>
      </rPr>
      <t xml:space="preserve">〜</t>
    </r>
    <r>
      <rPr>
        <sz val="10"/>
        <color rgb="FF1F2A30"/>
        <rFont val="Meiryo UI"/>
        <family val="0"/>
        <charset val="1"/>
      </rPr>
      <t xml:space="preserve">15:30 </t>
    </r>
    <r>
      <rPr>
        <sz val="10"/>
        <color rgb="FF1F2A30"/>
        <rFont val="WenQuanYi Zen Hei"/>
        <family val="2"/>
      </rPr>
      <t xml:space="preserve">として抽出される</t>
    </r>
  </si>
  <si>
    <t xml:space="preserve">TC-010</t>
  </si>
  <si>
    <t xml:space="preserve">終了時刻なし</t>
  </si>
  <si>
    <r>
      <rPr>
        <sz val="10"/>
        <color rgb="FF1F2A30"/>
        <rFont val="WenQuanYi Zen Hei"/>
        <family val="2"/>
      </rPr>
      <t xml:space="preserve">本文「</t>
    </r>
    <r>
      <rPr>
        <sz val="10"/>
        <color rgb="FF1F2A30"/>
        <rFont val="Meiryo UI"/>
        <family val="0"/>
        <charset val="1"/>
      </rPr>
      <t xml:space="preserve">10</t>
    </r>
    <r>
      <rPr>
        <sz val="10"/>
        <color rgb="FF1F2A30"/>
        <rFont val="WenQuanYi Zen Hei"/>
        <family val="2"/>
      </rPr>
      <t xml:space="preserve">月</t>
    </r>
    <r>
      <rPr>
        <sz val="10"/>
        <color rgb="FF1F2A30"/>
        <rFont val="Meiryo UI"/>
        <family val="0"/>
        <charset val="1"/>
      </rPr>
      <t xml:space="preserve">1</t>
    </r>
    <r>
      <rPr>
        <sz val="10"/>
        <color rgb="FF1F2A30"/>
        <rFont val="WenQuanYi Zen Hei"/>
        <family val="2"/>
      </rPr>
      <t xml:space="preserve">日 午後</t>
    </r>
    <r>
      <rPr>
        <sz val="10"/>
        <color rgb="FF1F2A30"/>
        <rFont val="Meiryo UI"/>
        <family val="0"/>
        <charset val="1"/>
      </rPr>
      <t xml:space="preserve">1</t>
    </r>
    <r>
      <rPr>
        <sz val="10"/>
        <color rgb="FF1F2A30"/>
        <rFont val="WenQuanYi Zen Hei"/>
        <family val="2"/>
      </rPr>
      <t xml:space="preserve">時から」、既定の所要時間</t>
    </r>
    <r>
      <rPr>
        <sz val="10"/>
        <color rgb="FF1F2A30"/>
        <rFont val="Meiryo UI"/>
        <family val="0"/>
        <charset val="1"/>
      </rPr>
      <t xml:space="preserve">60</t>
    </r>
    <r>
      <rPr>
        <sz val="10"/>
        <color rgb="FF1F2A30"/>
        <rFont val="WenQuanYi Zen Hei"/>
        <family val="2"/>
      </rPr>
      <t xml:space="preserve">分</t>
    </r>
  </si>
  <si>
    <r>
      <rPr>
        <sz val="10"/>
        <color rgb="FF1F2A30"/>
        <rFont val="Meiryo UI"/>
        <family val="0"/>
        <charset val="1"/>
      </rPr>
      <t xml:space="preserve">10/1 13:00</t>
    </r>
    <r>
      <rPr>
        <sz val="10"/>
        <color rgb="FF1F2A30"/>
        <rFont val="WenQuanYi Zen Hei"/>
        <family val="2"/>
      </rPr>
      <t xml:space="preserve">〜</t>
    </r>
    <r>
      <rPr>
        <sz val="10"/>
        <color rgb="FF1F2A30"/>
        <rFont val="Meiryo UI"/>
        <family val="0"/>
        <charset val="1"/>
      </rPr>
      <t xml:space="preserve">14:00 </t>
    </r>
    <r>
      <rPr>
        <sz val="10"/>
        <color rgb="FF1F2A30"/>
        <rFont val="WenQuanYi Zen Hei"/>
        <family val="2"/>
      </rPr>
      <t xml:space="preserve">として抽出される（既定の所要時間を使用）</t>
    </r>
  </si>
  <si>
    <t xml:space="preserve">TC-011</t>
  </si>
  <si>
    <r>
      <rPr>
        <sz val="10"/>
        <color rgb="FF1F2A30"/>
        <rFont val="Meiryo UI"/>
        <family val="0"/>
        <charset val="1"/>
      </rPr>
      <t xml:space="preserve">1</t>
    </r>
    <r>
      <rPr>
        <sz val="10"/>
        <color rgb="FF1F2A30"/>
        <rFont val="WenQuanYi Zen Hei"/>
        <family val="2"/>
      </rPr>
      <t xml:space="preserve">行に複数の時間帯</t>
    </r>
  </si>
  <si>
    <r>
      <rPr>
        <sz val="10"/>
        <color rgb="FF1F2A30"/>
        <rFont val="WenQuanYi Zen Hei"/>
        <family val="2"/>
      </rPr>
      <t xml:space="preserve">本文「</t>
    </r>
    <r>
      <rPr>
        <sz val="10"/>
        <color rgb="FF1F2A30"/>
        <rFont val="Meiryo UI"/>
        <family val="0"/>
        <charset val="1"/>
      </rPr>
      <t xml:space="preserve">10/2(</t>
    </r>
    <r>
      <rPr>
        <sz val="10"/>
        <color rgb="FF1F2A30"/>
        <rFont val="WenQuanYi Zen Hei"/>
        <family val="2"/>
      </rPr>
      <t xml:space="preserve">金</t>
    </r>
    <r>
      <rPr>
        <sz val="10"/>
        <color rgb="FF1F2A30"/>
        <rFont val="Meiryo UI"/>
        <family val="0"/>
        <charset val="1"/>
      </rPr>
      <t xml:space="preserve">) 10:00-11:00</t>
    </r>
    <r>
      <rPr>
        <sz val="10"/>
        <color rgb="FF1F2A30"/>
        <rFont val="WenQuanYi Zen Hei"/>
        <family val="2"/>
      </rPr>
      <t xml:space="preserve">、</t>
    </r>
    <r>
      <rPr>
        <sz val="10"/>
        <color rgb="FF1F2A30"/>
        <rFont val="Meiryo UI"/>
        <family val="0"/>
        <charset val="1"/>
      </rPr>
      <t xml:space="preserve">14:00-15:00</t>
    </r>
    <r>
      <rPr>
        <sz val="10"/>
        <color rgb="FF1F2A30"/>
        <rFont val="WenQuanYi Zen Hei"/>
        <family val="2"/>
      </rPr>
      <t xml:space="preserve">」</t>
    </r>
  </si>
  <si>
    <r>
      <rPr>
        <sz val="10"/>
        <color rgb="FF1F2A30"/>
        <rFont val="WenQuanYi Zen Hei"/>
        <family val="2"/>
      </rPr>
      <t xml:space="preserve">同じ日の</t>
    </r>
    <r>
      <rPr>
        <sz val="10"/>
        <color rgb="FF1F2A30"/>
        <rFont val="Meiryo UI"/>
        <family val="0"/>
        <charset val="1"/>
      </rPr>
      <t xml:space="preserve">2</t>
    </r>
    <r>
      <rPr>
        <sz val="10"/>
        <color rgb="FF1F2A30"/>
        <rFont val="WenQuanYi Zen Hei"/>
        <family val="2"/>
      </rPr>
      <t xml:space="preserve">枠が別々の候補として抽出される</t>
    </r>
  </si>
  <si>
    <t xml:space="preserve">TC-012</t>
  </si>
  <si>
    <t xml:space="preserve">日付の次の行に時刻</t>
  </si>
  <si>
    <t xml:space="preserve">本文で日付と時刻が改行で分かれている</t>
  </si>
  <si>
    <t xml:space="preserve">日付と次の行の時刻が組み合わされて抽出される</t>
  </si>
  <si>
    <t xml:space="preserve">TC-013</t>
  </si>
  <si>
    <t xml:space="preserve">午前・午後の指定なし</t>
  </si>
  <si>
    <r>
      <rPr>
        <sz val="10"/>
        <color rgb="FF1F2A30"/>
        <rFont val="WenQuanYi Zen Hei"/>
        <family val="2"/>
      </rPr>
      <t xml:space="preserve">本文「</t>
    </r>
    <r>
      <rPr>
        <sz val="10"/>
        <color rgb="FF1F2A30"/>
        <rFont val="Meiryo UI"/>
        <family val="0"/>
        <charset val="1"/>
      </rPr>
      <t xml:space="preserve">9/18 1</t>
    </r>
    <r>
      <rPr>
        <sz val="10"/>
        <color rgb="FF1F2A30"/>
        <rFont val="WenQuanYi Zen Hei"/>
        <family val="2"/>
      </rPr>
      <t xml:space="preserve">時〜</t>
    </r>
    <r>
      <rPr>
        <sz val="10"/>
        <color rgb="FF1F2A30"/>
        <rFont val="Meiryo UI"/>
        <family val="0"/>
        <charset val="1"/>
      </rPr>
      <t xml:space="preserve">2</t>
    </r>
    <r>
      <rPr>
        <sz val="10"/>
        <color rgb="FF1F2A30"/>
        <rFont val="WenQuanYi Zen Hei"/>
        <family val="2"/>
      </rPr>
      <t xml:space="preserve">時」</t>
    </r>
  </si>
  <si>
    <r>
      <rPr>
        <sz val="10"/>
        <color rgb="FF1F2A30"/>
        <rFont val="Meiryo UI"/>
        <family val="0"/>
        <charset val="1"/>
      </rPr>
      <t xml:space="preserve">13:00</t>
    </r>
    <r>
      <rPr>
        <sz val="10"/>
        <color rgb="FF1F2A30"/>
        <rFont val="WenQuanYi Zen Hei"/>
        <family val="2"/>
      </rPr>
      <t xml:space="preserve">〜</t>
    </r>
    <r>
      <rPr>
        <sz val="10"/>
        <color rgb="FF1F2A30"/>
        <rFont val="Meiryo UI"/>
        <family val="0"/>
        <charset val="1"/>
      </rPr>
      <t xml:space="preserve">14:00 </t>
    </r>
    <r>
      <rPr>
        <sz val="10"/>
        <color rgb="FF1F2A30"/>
        <rFont val="WenQuanYi Zen Hei"/>
        <family val="2"/>
      </rPr>
      <t xml:space="preserve">として抽出される。「</t>
    </r>
    <r>
      <rPr>
        <sz val="10"/>
        <color rgb="FF1F2A30"/>
        <rFont val="Meiryo UI"/>
        <family val="0"/>
        <charset val="1"/>
      </rPr>
      <t xml:space="preserve">1</t>
    </r>
    <r>
      <rPr>
        <sz val="10"/>
        <color rgb="FF1F2A30"/>
        <rFont val="WenQuanYi Zen Hei"/>
        <family val="2"/>
      </rPr>
      <t xml:space="preserve">時間」などの所要時間は時刻として扱われない</t>
    </r>
  </si>
  <si>
    <t xml:space="preserve">TC-014</t>
  </si>
  <si>
    <t xml:space="preserve">年をまたぐ日付</t>
  </si>
  <si>
    <r>
      <rPr>
        <sz val="10"/>
        <color rgb="FF1F2A30"/>
        <rFont val="Meiryo UI"/>
        <family val="0"/>
        <charset val="1"/>
      </rPr>
      <t xml:space="preserve">12</t>
    </r>
    <r>
      <rPr>
        <sz val="10"/>
        <color rgb="FF1F2A30"/>
        <rFont val="WenQuanYi Zen Hei"/>
        <family val="2"/>
      </rPr>
      <t xml:space="preserve">月に受信した「</t>
    </r>
    <r>
      <rPr>
        <sz val="10"/>
        <color rgb="FF1F2A30"/>
        <rFont val="Meiryo UI"/>
        <family val="0"/>
        <charset val="1"/>
      </rPr>
      <t xml:space="preserve">1/12 10:00</t>
    </r>
    <r>
      <rPr>
        <sz val="10"/>
        <color rgb="FF1F2A30"/>
        <rFont val="WenQuanYi Zen Hei"/>
        <family val="2"/>
      </rPr>
      <t xml:space="preserve">〜</t>
    </r>
    <r>
      <rPr>
        <sz val="10"/>
        <color rgb="FF1F2A30"/>
        <rFont val="Meiryo UI"/>
        <family val="0"/>
        <charset val="1"/>
      </rPr>
      <t xml:space="preserve">11:00</t>
    </r>
    <r>
      <rPr>
        <sz val="10"/>
        <color rgb="FF1F2A30"/>
        <rFont val="WenQuanYi Zen Hei"/>
        <family val="2"/>
      </rPr>
      <t xml:space="preserve">」</t>
    </r>
  </si>
  <si>
    <r>
      <rPr>
        <sz val="10"/>
        <color rgb="FF1F2A30"/>
        <rFont val="WenQuanYi Zen Hei"/>
        <family val="2"/>
      </rPr>
      <t xml:space="preserve">翌年の</t>
    </r>
    <r>
      <rPr>
        <sz val="10"/>
        <color rgb="FF1F2A30"/>
        <rFont val="Meiryo UI"/>
        <family val="0"/>
        <charset val="1"/>
      </rPr>
      <t xml:space="preserve">1/12</t>
    </r>
    <r>
      <rPr>
        <sz val="10"/>
        <color rgb="FF1F2A30"/>
        <rFont val="WenQuanYi Zen Hei"/>
        <family val="2"/>
      </rPr>
      <t xml:space="preserve">として扱われる（カレンダーの仮押さえ日付で確認）</t>
    </r>
  </si>
  <si>
    <t xml:space="preserve">TC-015</t>
  </si>
  <si>
    <t xml:space="preserve">引用</t>
  </si>
  <si>
    <t xml:space="preserve">返信の引用部分を無視</t>
  </si>
  <si>
    <r>
      <rPr>
        <sz val="10"/>
        <color rgb="FF1F2A30"/>
        <rFont val="WenQuanYi Zen Hei"/>
        <family val="2"/>
      </rPr>
      <t xml:space="preserve">「</t>
    </r>
    <r>
      <rPr>
        <sz val="10"/>
        <color rgb="FF1F2A30"/>
        <rFont val="Meiryo UI"/>
        <family val="0"/>
        <charset val="1"/>
      </rPr>
      <t xml:space="preserve">&gt;</t>
    </r>
    <r>
      <rPr>
        <sz val="10"/>
        <color rgb="FF1F2A30"/>
        <rFont val="WenQuanYi Zen Hei"/>
        <family val="2"/>
      </rPr>
      <t xml:space="preserve">」で引用された過去の候補を含む返信メール</t>
    </r>
  </si>
  <si>
    <t xml:space="preserve">引用部分の日時は候補に含まれない</t>
  </si>
  <si>
    <t xml:space="preserve">TC-016</t>
  </si>
  <si>
    <t xml:space="preserve">候補なし</t>
  </si>
  <si>
    <t xml:space="preserve">候補日が書かれていないメール</t>
  </si>
  <si>
    <t xml:space="preserve">日時の記載がないメール</t>
  </si>
  <si>
    <t xml:space="preserve">「候補日が見つかりませんでした」と表示され、手入力欄と「新規で作成」の案内が出る</t>
  </si>
  <si>
    <t xml:space="preserve">TC-017</t>
  </si>
  <si>
    <t xml:space="preserve">手入力</t>
  </si>
  <si>
    <t xml:space="preserve">候補の手入力追加</t>
  </si>
  <si>
    <r>
      <rPr>
        <sz val="10"/>
        <color rgb="FF1F2A30"/>
        <rFont val="WenQuanYi Zen Hei"/>
        <family val="2"/>
      </rPr>
      <t xml:space="preserve">手入力欄に「</t>
    </r>
    <r>
      <rPr>
        <sz val="10"/>
        <color rgb="FF1F2A30"/>
        <rFont val="Meiryo UI"/>
        <family val="0"/>
        <charset val="1"/>
      </rPr>
      <t xml:space="preserve">9/18 14:00</t>
    </r>
    <r>
      <rPr>
        <sz val="10"/>
        <color rgb="FF1F2A30"/>
        <rFont val="WenQuanYi Zen Hei"/>
        <family val="2"/>
      </rPr>
      <t xml:space="preserve">〜</t>
    </r>
    <r>
      <rPr>
        <sz val="10"/>
        <color rgb="FF1F2A30"/>
        <rFont val="Meiryo UI"/>
        <family val="0"/>
        <charset val="1"/>
      </rPr>
      <t xml:space="preserve">15:00</t>
    </r>
    <r>
      <rPr>
        <sz val="10"/>
        <color rgb="FF1F2A30"/>
        <rFont val="WenQuanYi Zen Hei"/>
        <family val="2"/>
      </rPr>
      <t xml:space="preserve">」と入れて「候補を追加」</t>
    </r>
  </si>
  <si>
    <t xml:space="preserve">候補一覧に追加され、チェックが入る。同じ候補を再度追加しても重複しない</t>
  </si>
  <si>
    <t xml:space="preserve">TC-018</t>
  </si>
  <si>
    <t xml:space="preserve">読み取れない入力</t>
  </si>
  <si>
    <t xml:space="preserve">手入力欄に「来週のどこか」と入れて「候補を追加」</t>
  </si>
  <si>
    <t xml:space="preserve">「日時を読み取れませんでした」と通知される</t>
  </si>
  <si>
    <t xml:space="preserve">エラー</t>
  </si>
  <si>
    <t xml:space="preserve">TC-019</t>
  </si>
  <si>
    <t xml:space="preserve">既知の制約</t>
  </si>
  <si>
    <t xml:space="preserve">相対的な表現</t>
  </si>
  <si>
    <t xml:space="preserve">本文「来週火曜の午後」</t>
  </si>
  <si>
    <t xml:space="preserve">抽出されない（既知の制約）。手入力で追加できることを確認する</t>
  </si>
  <si>
    <t xml:space="preserve">TC-020</t>
  </si>
  <si>
    <t xml:space="preserve">推定</t>
  </si>
  <si>
    <t xml:space="preserve">会社名の推定（名乗り）</t>
  </si>
  <si>
    <r>
      <rPr>
        <sz val="10"/>
        <color rgb="FF1F2A30"/>
        <rFont val="WenQuanYi Zen Hei"/>
        <family val="2"/>
      </rPr>
      <t xml:space="preserve">本文「</t>
    </r>
    <r>
      <rPr>
        <sz val="10"/>
        <color rgb="FF1F2A30"/>
        <rFont val="Meiryo UI"/>
        <family val="0"/>
        <charset val="1"/>
      </rPr>
      <t xml:space="preserve">ABC</t>
    </r>
    <r>
      <rPr>
        <sz val="10"/>
        <color rgb="FF1F2A30"/>
        <rFont val="WenQuanYi Zen Hei"/>
        <family val="2"/>
      </rPr>
      <t xml:space="preserve">商事の田中です。」</t>
    </r>
  </si>
  <si>
    <t xml:space="preserve">メールを開き、②案件情報を開く</t>
  </si>
  <si>
    <r>
      <rPr>
        <sz val="10"/>
        <color rgb="FF1F2A30"/>
        <rFont val="WenQuanYi Zen Hei"/>
        <family val="2"/>
      </rPr>
      <t xml:space="preserve">会社名に「</t>
    </r>
    <r>
      <rPr>
        <sz val="10"/>
        <color rgb="FF1F2A30"/>
        <rFont val="Meiryo UI"/>
        <family val="0"/>
        <charset val="1"/>
      </rPr>
      <t xml:space="preserve">ABC</t>
    </r>
    <r>
      <rPr>
        <sz val="10"/>
        <color rgb="FF1F2A30"/>
        <rFont val="WenQuanYi Zen Hei"/>
        <family val="2"/>
      </rPr>
      <t xml:space="preserve">商事」が入る</t>
    </r>
  </si>
  <si>
    <t xml:space="preserve">TC-021</t>
  </si>
  <si>
    <t xml:space="preserve">会社名の推定（署名）</t>
  </si>
  <si>
    <r>
      <rPr>
        <sz val="10"/>
        <color rgb="FF1F2A30"/>
        <rFont val="WenQuanYi Zen Hei"/>
        <family val="2"/>
      </rPr>
      <t xml:space="preserve">名乗りがなく、署名に「株式会社</t>
    </r>
    <r>
      <rPr>
        <sz val="10"/>
        <color rgb="FF1F2A30"/>
        <rFont val="Meiryo UI"/>
        <family val="0"/>
        <charset val="1"/>
      </rPr>
      <t xml:space="preserve">XYZ</t>
    </r>
    <r>
      <rPr>
        <sz val="10"/>
        <color rgb="FF1F2A30"/>
        <rFont val="WenQuanYi Zen Hei"/>
        <family val="2"/>
      </rPr>
      <t xml:space="preserve">」がある</t>
    </r>
  </si>
  <si>
    <r>
      <rPr>
        <sz val="10"/>
        <color rgb="FF1F2A30"/>
        <rFont val="WenQuanYi Zen Hei"/>
        <family val="2"/>
      </rPr>
      <t xml:space="preserve">会社名に「株式会社</t>
    </r>
    <r>
      <rPr>
        <sz val="10"/>
        <color rgb="FF1F2A30"/>
        <rFont val="Meiryo UI"/>
        <family val="0"/>
        <charset val="1"/>
      </rPr>
      <t xml:space="preserve">XYZ</t>
    </r>
    <r>
      <rPr>
        <sz val="10"/>
        <color rgb="FF1F2A30"/>
        <rFont val="WenQuanYi Zen Hei"/>
        <family val="2"/>
      </rPr>
      <t xml:space="preserve">」が入る</t>
    </r>
  </si>
  <si>
    <t xml:space="preserve">TC-022</t>
  </si>
  <si>
    <t xml:space="preserve">担当者・案件名</t>
  </si>
  <si>
    <r>
      <rPr>
        <sz val="10"/>
        <color rgb="FF1F2A30"/>
        <rFont val="WenQuanYi Zen Hei"/>
        <family val="2"/>
      </rPr>
      <t xml:space="preserve">差出人「田中 太郎」、件名「</t>
    </r>
    <r>
      <rPr>
        <sz val="10"/>
        <color rgb="FF1F2A30"/>
        <rFont val="Meiryo UI"/>
        <family val="0"/>
        <charset val="1"/>
      </rPr>
      <t xml:space="preserve">Re: </t>
    </r>
    <r>
      <rPr>
        <sz val="10"/>
        <color rgb="FF1F2A30"/>
        <rFont val="WenQuanYi Zen Hei"/>
        <family val="2"/>
      </rPr>
      <t xml:space="preserve">新製品の件」</t>
    </r>
  </si>
  <si>
    <r>
      <rPr>
        <sz val="10"/>
        <color rgb="FF1F2A30"/>
        <rFont val="WenQuanYi Zen Hei"/>
        <family val="2"/>
      </rPr>
      <t xml:space="preserve">担当者に「田中」、案件名に「新製品の件」（</t>
    </r>
    <r>
      <rPr>
        <sz val="10"/>
        <color rgb="FF1F2A30"/>
        <rFont val="Meiryo UI"/>
        <family val="0"/>
        <charset val="1"/>
      </rPr>
      <t xml:space="preserve">Re: </t>
    </r>
    <r>
      <rPr>
        <sz val="10"/>
        <color rgb="FF1F2A30"/>
        <rFont val="WenQuanYi Zen Hei"/>
        <family val="2"/>
      </rPr>
      <t xml:space="preserve">を除去）が入る</t>
    </r>
  </si>
  <si>
    <t xml:space="preserve">TC-023</t>
  </si>
  <si>
    <t xml:space="preserve">形式の推定</t>
  </si>
  <si>
    <r>
      <rPr>
        <sz val="10"/>
        <color rgb="FF1F2A30"/>
        <rFont val="WenQuanYi Zen Hei"/>
        <family val="2"/>
      </rPr>
      <t xml:space="preserve">本文に「</t>
    </r>
    <r>
      <rPr>
        <sz val="10"/>
        <color rgb="FF1F2A30"/>
        <rFont val="Meiryo UI"/>
        <family val="0"/>
        <charset val="1"/>
      </rPr>
      <t xml:space="preserve">Web</t>
    </r>
    <r>
      <rPr>
        <sz val="10"/>
        <color rgb="FF1F2A30"/>
        <rFont val="WenQuanYi Zen Hei"/>
        <family val="2"/>
      </rPr>
      <t xml:space="preserve">」「訪問」「ご来社」などの語</t>
    </r>
  </si>
  <si>
    <t xml:space="preserve">それぞれのメールを開く</t>
  </si>
  <si>
    <r>
      <rPr>
        <sz val="10"/>
        <color rgb="FF1F2A30"/>
        <rFont val="Meiryo UI"/>
        <family val="0"/>
        <charset val="1"/>
      </rPr>
      <t xml:space="preserve">Web </t>
    </r>
    <r>
      <rPr>
        <sz val="10"/>
        <color rgb="FF1F2A30"/>
        <rFont val="WenQuanYi Zen Hei"/>
        <family val="2"/>
      </rPr>
      <t xml:space="preserve">のみ→</t>
    </r>
    <r>
      <rPr>
        <sz val="10"/>
        <color rgb="FF1F2A30"/>
        <rFont val="Meiryo UI"/>
        <family val="0"/>
        <charset val="1"/>
      </rPr>
      <t xml:space="preserve">Web</t>
    </r>
    <r>
      <rPr>
        <sz val="10"/>
        <color rgb="FF1F2A30"/>
        <rFont val="WenQuanYi Zen Hei"/>
        <family val="2"/>
      </rPr>
      <t xml:space="preserve">、訪問系のみ→訪問、両方→訪問（一部</t>
    </r>
    <r>
      <rPr>
        <sz val="10"/>
        <color rgb="FF1F2A30"/>
        <rFont val="Meiryo UI"/>
        <family val="0"/>
        <charset val="1"/>
      </rPr>
      <t xml:space="preserve">Web</t>
    </r>
    <r>
      <rPr>
        <sz val="10"/>
        <color rgb="FF1F2A30"/>
        <rFont val="WenQuanYi Zen Hei"/>
        <family val="2"/>
      </rPr>
      <t xml:space="preserve">）が初期選択される</t>
    </r>
  </si>
  <si>
    <t xml:space="preserve">TC-024</t>
  </si>
  <si>
    <t xml:space="preserve">修正</t>
  </si>
  <si>
    <t xml:space="preserve">案件情報の修正</t>
  </si>
  <si>
    <t xml:space="preserve">会社名・案件名・形式・立場を修正して「空き状況を確認」→「候補日を送る」</t>
  </si>
  <si>
    <t xml:space="preserve">修正した内容が件名・本文・カレンダーのタイトルに反映される</t>
  </si>
  <si>
    <t xml:space="preserve">TC-025</t>
  </si>
  <si>
    <t xml:space="preserve">選択</t>
  </si>
  <si>
    <t xml:space="preserve">メンバーの選択</t>
  </si>
  <si>
    <t xml:space="preserve">よく使うメンバーを登録済み</t>
  </si>
  <si>
    <t xml:space="preserve">チェックを入れて「空き状況を確認」</t>
  </si>
  <si>
    <t xml:space="preserve">選んだメンバーが空き確認の対象になる（空き確認画面に名前が表示される）</t>
  </si>
  <si>
    <t xml:space="preserve">TC-026</t>
  </si>
  <si>
    <t xml:space="preserve">メールアドレスで追加</t>
  </si>
  <si>
    <r>
      <rPr>
        <sz val="10"/>
        <color rgb="FF1F2A30"/>
        <rFont val="WenQuanYi Zen Hei"/>
        <family val="2"/>
      </rPr>
      <t xml:space="preserve">「メールアドレスで追加」に「佐藤 健 </t>
    </r>
    <r>
      <rPr>
        <sz val="10"/>
        <color rgb="FF1F2A30"/>
        <rFont val="Meiryo UI"/>
        <family val="0"/>
        <charset val="1"/>
      </rPr>
      <t xml:space="preserve">&lt;sato@…&gt;, suzuki@…</t>
    </r>
    <r>
      <rPr>
        <sz val="10"/>
        <color rgb="FF1F2A30"/>
        <rFont val="WenQuanYi Zen Hei"/>
        <family val="2"/>
      </rPr>
      <t xml:space="preserve">」と入力して進む</t>
    </r>
  </si>
  <si>
    <r>
      <rPr>
        <sz val="10"/>
        <color rgb="FF1F2A30"/>
        <rFont val="Meiryo UI"/>
        <family val="0"/>
        <charset val="1"/>
      </rPr>
      <t xml:space="preserve">2</t>
    </r>
    <r>
      <rPr>
        <sz val="10"/>
        <color rgb="FF1F2A30"/>
        <rFont val="WenQuanYi Zen Hei"/>
        <family val="2"/>
      </rPr>
      <t xml:space="preserve">名とも参加者に追加される</t>
    </r>
  </si>
  <si>
    <t xml:space="preserve">TC-027</t>
  </si>
  <si>
    <t xml:space="preserve">検索</t>
  </si>
  <si>
    <t xml:space="preserve">社内ディレクトリ検索</t>
  </si>
  <si>
    <t xml:space="preserve">名前の一部を入力して「社内ディレクトリを検索」</t>
  </si>
  <si>
    <t xml:space="preserve">該当者が選択肢に追加され、「○名が見つかりました」と通知される</t>
  </si>
  <si>
    <t xml:space="preserve">TC-028</t>
  </si>
  <si>
    <t xml:space="preserve">該当なし・未入力</t>
  </si>
  <si>
    <t xml:space="preserve">存在しない名前で検索。次に空欄で検索</t>
  </si>
  <si>
    <t xml:space="preserve">「見つかりませんでした」「入力してください」とそれぞれ通知される</t>
  </si>
  <si>
    <t xml:space="preserve">TC-029</t>
  </si>
  <si>
    <t xml:space="preserve">全員空き</t>
  </si>
  <si>
    <t xml:space="preserve">参加者全員が候補時間に予定なし</t>
  </si>
  <si>
    <t xml:space="preserve">「空き状況を確認」</t>
  </si>
  <si>
    <t xml:space="preserve">候補に「✅ 全員空き」と表示され、チェックが入っている</t>
  </si>
  <si>
    <t xml:space="preserve">TC-030</t>
  </si>
  <si>
    <t xml:space="preserve">予定あり</t>
  </si>
  <si>
    <r>
      <rPr>
        <sz val="10"/>
        <color rgb="FF1F2A30"/>
        <rFont val="WenQuanYi Zen Hei"/>
        <family val="2"/>
      </rPr>
      <t xml:space="preserve">参加者</t>
    </r>
    <r>
      <rPr>
        <sz val="10"/>
        <color rgb="FF1F2A30"/>
        <rFont val="Meiryo UI"/>
        <family val="0"/>
        <charset val="1"/>
      </rPr>
      <t xml:space="preserve">1</t>
    </r>
    <r>
      <rPr>
        <sz val="10"/>
        <color rgb="FF1F2A30"/>
        <rFont val="WenQuanYi Zen Hei"/>
        <family val="2"/>
      </rPr>
      <t xml:space="preserve">名の候補時間にダミー予定を登録</t>
    </r>
  </si>
  <si>
    <r>
      <rPr>
        <sz val="10"/>
        <color rgb="FF1F2A30"/>
        <rFont val="WenQuanYi Zen Hei"/>
        <family val="2"/>
      </rPr>
      <t xml:space="preserve">「⚠️ </t>
    </r>
    <r>
      <rPr>
        <sz val="10"/>
        <color rgb="FF1F2A30"/>
        <rFont val="Meiryo UI"/>
        <family val="0"/>
        <charset val="1"/>
      </rPr>
      <t xml:space="preserve">1</t>
    </r>
    <r>
      <rPr>
        <sz val="10"/>
        <color rgb="FF1F2A30"/>
        <rFont val="WenQuanYi Zen Hei"/>
        <family val="2"/>
      </rPr>
      <t xml:space="preserve">名が予定あり：（氏名）」と表示され、チェックが外れている</t>
    </r>
  </si>
  <si>
    <t xml:space="preserve">TC-031</t>
  </si>
  <si>
    <t xml:space="preserve">自分の予定</t>
  </si>
  <si>
    <t xml:space="preserve">自分のカレンダーの候補時間に予定を登録</t>
  </si>
  <si>
    <t xml:space="preserve">自分の名前が「予定あり」に表示される</t>
  </si>
  <si>
    <t xml:space="preserve">TC-032</t>
  </si>
  <si>
    <t xml:space="preserve">カレンダー非共有</t>
  </si>
  <si>
    <t xml:space="preserve">社外アドレスまたは共有していない社員を参加者に追加</t>
  </si>
  <si>
    <t xml:space="preserve">「❔ 確認できない参加者：（名前）」と表示される</t>
  </si>
  <si>
    <t xml:space="preserve">TC-033</t>
  </si>
  <si>
    <t xml:space="preserve">空き時間のみ共有</t>
  </si>
  <si>
    <t xml:space="preserve">予定の詳細は非公開で空き時間のみ共有している社員</t>
  </si>
  <si>
    <t xml:space="preserve">予定の有無は正しく判定され、予定の内容は画面に表示されない</t>
  </si>
  <si>
    <t xml:space="preserve">セキュリティ</t>
  </si>
  <si>
    <t xml:space="preserve">TC-034</t>
  </si>
  <si>
    <t xml:space="preserve">操作</t>
  </si>
  <si>
    <t xml:space="preserve">候補未選択</t>
  </si>
  <si>
    <t xml:space="preserve">すべての候補のチェックを外して「空き状況を確認」</t>
  </si>
  <si>
    <r>
      <rPr>
        <sz val="10"/>
        <color rgb="FF1F2A30"/>
        <rFont val="WenQuanYi Zen Hei"/>
        <family val="2"/>
      </rPr>
      <t xml:space="preserve">「候補日を</t>
    </r>
    <r>
      <rPr>
        <sz val="10"/>
        <color rgb="FF1F2A30"/>
        <rFont val="Meiryo UI"/>
        <family val="0"/>
        <charset val="1"/>
      </rPr>
      <t xml:space="preserve">1</t>
    </r>
    <r>
      <rPr>
        <sz val="10"/>
        <color rgb="FF1F2A30"/>
        <rFont val="WenQuanYi Zen Hei"/>
        <family val="2"/>
      </rPr>
      <t xml:space="preserve">つ以上選択してください」と通知される</t>
    </r>
  </si>
  <si>
    <t xml:space="preserve">TC-035</t>
  </si>
  <si>
    <t xml:space="preserve">確認画面での候補追加</t>
  </si>
  <si>
    <t xml:space="preserve">空き確認画面で候補を手入力して「＋候補を追加して確認」</t>
  </si>
  <si>
    <t xml:space="preserve">追加した候補を含め、全候補の空き状況が再判定される</t>
  </si>
  <si>
    <t xml:space="preserve">TC-036</t>
  </si>
  <si>
    <t xml:space="preserve">探索</t>
  </si>
  <si>
    <t xml:space="preserve">共通の空きを探す</t>
  </si>
  <si>
    <r>
      <rPr>
        <sz val="10"/>
        <color rgb="FF1F2A30"/>
        <rFont val="WenQuanYi Zen Hei"/>
        <family val="2"/>
      </rPr>
      <t xml:space="preserve">期間・時間帯・所要時間・候補数</t>
    </r>
    <r>
      <rPr>
        <sz val="10"/>
        <color rgb="FF1F2A30"/>
        <rFont val="Meiryo UI"/>
        <family val="0"/>
        <charset val="1"/>
      </rPr>
      <t xml:space="preserve">3</t>
    </r>
    <r>
      <rPr>
        <sz val="10"/>
        <color rgb="FF1F2A30"/>
        <rFont val="WenQuanYi Zen Hei"/>
        <family val="2"/>
      </rPr>
      <t xml:space="preserve">を指定</t>
    </r>
  </si>
  <si>
    <t xml:space="preserve">「全員の空きから候補日を探す」</t>
  </si>
  <si>
    <r>
      <rPr>
        <sz val="10"/>
        <color rgb="FF1F2A30"/>
        <rFont val="WenQuanYi Zen Hei"/>
        <family val="2"/>
      </rPr>
      <t xml:space="preserve">全員が空いている枠が</t>
    </r>
    <r>
      <rPr>
        <sz val="10"/>
        <color rgb="FF1F2A30"/>
        <rFont val="Meiryo UI"/>
        <family val="0"/>
        <charset val="1"/>
      </rPr>
      <t xml:space="preserve">3</t>
    </r>
    <r>
      <rPr>
        <sz val="10"/>
        <color rgb="FF1F2A30"/>
        <rFont val="WenQuanYi Zen Hei"/>
        <family val="2"/>
      </rPr>
      <t xml:space="preserve">件表示される。可能な限り別々の日になる</t>
    </r>
  </si>
  <si>
    <t xml:space="preserve">TC-037</t>
  </si>
  <si>
    <t xml:space="preserve">土日・祝日の除外</t>
  </si>
  <si>
    <t xml:space="preserve">期間に土日と祝日を含める、「土日・祝日を除く」オン</t>
  </si>
  <si>
    <t xml:space="preserve">探索する</t>
  </si>
  <si>
    <t xml:space="preserve">土日・祝日の枠が候補に含まれない</t>
  </si>
  <si>
    <t xml:space="preserve">TC-038</t>
  </si>
  <si>
    <t xml:space="preserve">昼休みの除外</t>
  </si>
  <si>
    <t xml:space="preserve">「昼休みを除く」オン</t>
  </si>
  <si>
    <r>
      <rPr>
        <sz val="10"/>
        <color rgb="FF1F2A30"/>
        <rFont val="Meiryo UI"/>
        <family val="0"/>
        <charset val="1"/>
      </rPr>
      <t xml:space="preserve">12:00</t>
    </r>
    <r>
      <rPr>
        <sz val="10"/>
        <color rgb="FF1F2A30"/>
        <rFont val="WenQuanYi Zen Hei"/>
        <family val="2"/>
      </rPr>
      <t xml:space="preserve">〜</t>
    </r>
    <r>
      <rPr>
        <sz val="10"/>
        <color rgb="FF1F2A30"/>
        <rFont val="Meiryo UI"/>
        <family val="0"/>
        <charset val="1"/>
      </rPr>
      <t xml:space="preserve">13:00 </t>
    </r>
    <r>
      <rPr>
        <sz val="10"/>
        <color rgb="FF1F2A30"/>
        <rFont val="WenQuanYi Zen Hei"/>
        <family val="2"/>
      </rPr>
      <t xml:space="preserve">にかかる枠が候補に含まれない</t>
    </r>
  </si>
  <si>
    <t xml:space="preserve">TC-039</t>
  </si>
  <si>
    <t xml:space="preserve">既存予定の回避</t>
  </si>
  <si>
    <t xml:space="preserve">参加者の予定を期間内に複数登録</t>
  </si>
  <si>
    <t xml:space="preserve">登録した予定と重なる枠が候補に含まれない</t>
  </si>
  <si>
    <t xml:space="preserve">TC-040</t>
  </si>
  <si>
    <t xml:space="preserve">入力チェック</t>
  </si>
  <si>
    <t xml:space="preserve">宛先未入力</t>
  </si>
  <si>
    <t xml:space="preserve">メールを開いていない状態（ホーム画面）</t>
  </si>
  <si>
    <t xml:space="preserve">宛先を空欄で探索する</t>
  </si>
  <si>
    <t xml:space="preserve">「宛先のメールアドレスを入力してください」と通知される</t>
  </si>
  <si>
    <t xml:space="preserve">TC-041</t>
  </si>
  <si>
    <t xml:space="preserve">時間帯が所要時間より短い</t>
  </si>
  <si>
    <r>
      <rPr>
        <sz val="10"/>
        <color rgb="FF1F2A30"/>
        <rFont val="WenQuanYi Zen Hei"/>
        <family val="2"/>
      </rPr>
      <t xml:space="preserve">時間帯 </t>
    </r>
    <r>
      <rPr>
        <sz val="10"/>
        <color rgb="FF1F2A30"/>
        <rFont val="Meiryo UI"/>
        <family val="0"/>
        <charset val="1"/>
      </rPr>
      <t xml:space="preserve">10:00</t>
    </r>
    <r>
      <rPr>
        <sz val="10"/>
        <color rgb="FF1F2A30"/>
        <rFont val="WenQuanYi Zen Hei"/>
        <family val="2"/>
      </rPr>
      <t xml:space="preserve">〜</t>
    </r>
    <r>
      <rPr>
        <sz val="10"/>
        <color rgb="FF1F2A30"/>
        <rFont val="Meiryo UI"/>
        <family val="0"/>
        <charset val="1"/>
      </rPr>
      <t xml:space="preserve">10:30</t>
    </r>
    <r>
      <rPr>
        <sz val="10"/>
        <color rgb="FF1F2A30"/>
        <rFont val="WenQuanYi Zen Hei"/>
        <family val="2"/>
      </rPr>
      <t xml:space="preserve">、所要時間 </t>
    </r>
    <r>
      <rPr>
        <sz val="10"/>
        <color rgb="FF1F2A30"/>
        <rFont val="Meiryo UI"/>
        <family val="0"/>
        <charset val="1"/>
      </rPr>
      <t xml:space="preserve">1</t>
    </r>
    <r>
      <rPr>
        <sz val="10"/>
        <color rgb="FF1F2A30"/>
        <rFont val="WenQuanYi Zen Hei"/>
        <family val="2"/>
      </rPr>
      <t xml:space="preserve">時間</t>
    </r>
  </si>
  <si>
    <t xml:space="preserve">「時間帯が所要時間より短くなっています」と通知される</t>
  </si>
  <si>
    <t xml:space="preserve">TC-042</t>
  </si>
  <si>
    <t xml:space="preserve">期間の誤り</t>
  </si>
  <si>
    <r>
      <rPr>
        <sz val="10"/>
        <color rgb="FF1F2A30"/>
        <rFont val="WenQuanYi Zen Hei"/>
        <family val="2"/>
      </rPr>
      <t xml:space="preserve">終了日を開始日より前に設定。または期間を</t>
    </r>
    <r>
      <rPr>
        <sz val="10"/>
        <color rgb="FF1F2A30"/>
        <rFont val="Meiryo UI"/>
        <family val="0"/>
        <charset val="1"/>
      </rPr>
      <t xml:space="preserve">46</t>
    </r>
    <r>
      <rPr>
        <sz val="10"/>
        <color rgb="FF1F2A30"/>
        <rFont val="WenQuanYi Zen Hei"/>
        <family val="2"/>
      </rPr>
      <t xml:space="preserve">日以上に設定</t>
    </r>
  </si>
  <si>
    <t xml:space="preserve">それぞれエラーが通知され、処理が中断される</t>
  </si>
  <si>
    <t xml:space="preserve">TC-043</t>
  </si>
  <si>
    <t xml:space="preserve">空きが見つからない</t>
  </si>
  <si>
    <t xml:space="preserve">期間中すべて予定ありにする</t>
  </si>
  <si>
    <t xml:space="preserve">「条件に合う空き時間が見つかりませんでした」と通知される</t>
  </si>
  <si>
    <t xml:space="preserve">TC-044</t>
  </si>
  <si>
    <t xml:space="preserve">引き継ぎ</t>
  </si>
  <si>
    <t xml:space="preserve">メールから新規で作成</t>
  </si>
  <si>
    <t xml:space="preserve">先方メールを開いた状態</t>
  </si>
  <si>
    <t xml:space="preserve">「新規で作成」タブを押す</t>
  </si>
  <si>
    <t xml:space="preserve">会社名・担当者・案件名が引き継がれ、下書きはそのスレッドへの返信として作成される</t>
  </si>
  <si>
    <t xml:space="preserve">TC-045</t>
  </si>
  <si>
    <t xml:space="preserve">仮押さえ</t>
  </si>
  <si>
    <t xml:space="preserve">仮押さえの作成</t>
  </si>
  <si>
    <r>
      <rPr>
        <sz val="10"/>
        <color rgb="FF1F2A30"/>
        <rFont val="WenQuanYi Zen Hei"/>
        <family val="2"/>
      </rPr>
      <t xml:space="preserve">「仮押さえ」オン、候補</t>
    </r>
    <r>
      <rPr>
        <sz val="10"/>
        <color rgb="FF1F2A30"/>
        <rFont val="Meiryo UI"/>
        <family val="0"/>
        <charset val="1"/>
      </rPr>
      <t xml:space="preserve">2</t>
    </r>
    <r>
      <rPr>
        <sz val="10"/>
        <color rgb="FF1F2A30"/>
        <rFont val="WenQuanYi Zen Hei"/>
        <family val="2"/>
      </rPr>
      <t xml:space="preserve">件</t>
    </r>
  </si>
  <si>
    <t xml:space="preserve">「候補日を送る（下書きを作成）」</t>
  </si>
  <si>
    <r>
      <rPr>
        <sz val="10"/>
        <color rgb="FF1F2A30"/>
        <rFont val="WenQuanYi Zen Hei"/>
        <family val="2"/>
      </rPr>
      <t xml:space="preserve">自分のカレンダーに「【調整中】会社｜案件（形式） 候補</t>
    </r>
    <r>
      <rPr>
        <sz val="10"/>
        <color rgb="FF1F2A30"/>
        <rFont val="Meiryo UI"/>
        <family val="0"/>
        <charset val="1"/>
      </rPr>
      <t xml:space="preserve">1/2</t>
    </r>
    <r>
      <rPr>
        <sz val="10"/>
        <color rgb="FF1F2A30"/>
        <rFont val="WenQuanYi Zen Hei"/>
        <family val="2"/>
      </rPr>
      <t xml:space="preserve">」などが黄色で</t>
    </r>
    <r>
      <rPr>
        <sz val="10"/>
        <color rgb="FF1F2A30"/>
        <rFont val="Meiryo UI"/>
        <family val="0"/>
        <charset val="1"/>
      </rPr>
      <t xml:space="preserve">2</t>
    </r>
    <r>
      <rPr>
        <sz val="10"/>
        <color rgb="FF1F2A30"/>
        <rFont val="WenQuanYi Zen Hei"/>
        <family val="2"/>
      </rPr>
      <t xml:space="preserve">件作成される</t>
    </r>
  </si>
  <si>
    <t xml:space="preserve">TC-046</t>
  </si>
  <si>
    <t xml:space="preserve">参加者への招待</t>
  </si>
  <si>
    <t xml:space="preserve">「社内参加者も仮押さえに招待」オン</t>
  </si>
  <si>
    <t xml:space="preserve">候補日を送る</t>
  </si>
  <si>
    <t xml:space="preserve">参加者のカレンダーに予定が入る。招待メールの通知は送られない</t>
  </si>
  <si>
    <t xml:space="preserve">TC-047</t>
  </si>
  <si>
    <t xml:space="preserve">仮押さえしない</t>
  </si>
  <si>
    <t xml:space="preserve">「仮押さえ」オフ</t>
  </si>
  <si>
    <t xml:space="preserve">カレンダーに予定が作成されない</t>
  </si>
  <si>
    <t xml:space="preserve">TC-048</t>
  </si>
  <si>
    <t xml:space="preserve">下書き</t>
  </si>
  <si>
    <t xml:space="preserve">件名の形式</t>
  </si>
  <si>
    <r>
      <rPr>
        <sz val="10"/>
        <color rgb="FF1F2A30"/>
        <rFont val="WenQuanYi Zen Hei"/>
        <family val="2"/>
      </rPr>
      <t xml:space="preserve">会社「</t>
    </r>
    <r>
      <rPr>
        <sz val="10"/>
        <color rgb="FF1F2A30"/>
        <rFont val="Meiryo UI"/>
        <family val="0"/>
        <charset val="1"/>
      </rPr>
      <t xml:space="preserve">ABC</t>
    </r>
    <r>
      <rPr>
        <sz val="10"/>
        <color rgb="FF1F2A30"/>
        <rFont val="WenQuanYi Zen Hei"/>
        <family val="2"/>
      </rPr>
      <t xml:space="preserve">商事」案件「新製品案件」担当「田中」立場「バイヤー」形式 </t>
    </r>
    <r>
      <rPr>
        <sz val="10"/>
        <color rgb="FF1F2A30"/>
        <rFont val="Meiryo UI"/>
        <family val="0"/>
        <charset val="1"/>
      </rPr>
      <t xml:space="preserve">Web</t>
    </r>
  </si>
  <si>
    <r>
      <rPr>
        <sz val="10"/>
        <color rgb="FF1F2A30"/>
        <rFont val="WenQuanYi Zen Hei"/>
        <family val="2"/>
      </rPr>
      <t xml:space="preserve">件名が「【調整中】【</t>
    </r>
    <r>
      <rPr>
        <sz val="10"/>
        <color rgb="FF1F2A30"/>
        <rFont val="Meiryo UI"/>
        <family val="0"/>
        <charset val="1"/>
      </rPr>
      <t xml:space="preserve">Web</t>
    </r>
    <r>
      <rPr>
        <sz val="10"/>
        <color rgb="FF1F2A30"/>
        <rFont val="WenQuanYi Zen Hei"/>
        <family val="2"/>
      </rPr>
      <t xml:space="preserve">】</t>
    </r>
    <r>
      <rPr>
        <sz val="10"/>
        <color rgb="FF1F2A30"/>
        <rFont val="Meiryo UI"/>
        <family val="0"/>
        <charset val="1"/>
      </rPr>
      <t xml:space="preserve">ABC</t>
    </r>
    <r>
      <rPr>
        <sz val="10"/>
        <color rgb="FF1F2A30"/>
        <rFont val="WenQuanYi Zen Hei"/>
        <family val="2"/>
      </rPr>
      <t xml:space="preserve">商事｜新製品案件｜田中バイヤー」になる</t>
    </r>
  </si>
  <si>
    <t xml:space="preserve">TC-049</t>
  </si>
  <si>
    <r>
      <rPr>
        <sz val="10"/>
        <color rgb="FF1F2A30"/>
        <rFont val="WenQuanYi Zen Hei"/>
        <family val="2"/>
      </rPr>
      <t xml:space="preserve">宛先・</t>
    </r>
    <r>
      <rPr>
        <sz val="10"/>
        <color rgb="FF1F2A30"/>
        <rFont val="Meiryo UI"/>
        <family val="0"/>
        <charset val="1"/>
      </rPr>
      <t xml:space="preserve">CC</t>
    </r>
  </si>
  <si>
    <r>
      <rPr>
        <sz val="10"/>
        <color rgb="FF1F2A30"/>
        <rFont val="WenQuanYi Zen Hei"/>
        <family val="2"/>
      </rPr>
      <t xml:space="preserve">先方メールに </t>
    </r>
    <r>
      <rPr>
        <sz val="10"/>
        <color rgb="FF1F2A30"/>
        <rFont val="Meiryo UI"/>
        <family val="0"/>
        <charset val="1"/>
      </rPr>
      <t xml:space="preserve">CC </t>
    </r>
    <r>
      <rPr>
        <sz val="10"/>
        <color rgb="FF1F2A30"/>
        <rFont val="WenQuanYi Zen Hei"/>
        <family val="2"/>
      </rPr>
      <t xml:space="preserve">が入っている</t>
    </r>
  </si>
  <si>
    <r>
      <rPr>
        <sz val="10"/>
        <color rgb="FF1F2A30"/>
        <rFont val="WenQuanYi Zen Hei"/>
        <family val="2"/>
      </rPr>
      <t xml:space="preserve">宛先は先方の差出人、</t>
    </r>
    <r>
      <rPr>
        <sz val="10"/>
        <color rgb="FF1F2A30"/>
        <rFont val="Meiryo UI"/>
        <family val="0"/>
        <charset val="1"/>
      </rPr>
      <t xml:space="preserve">CC </t>
    </r>
    <r>
      <rPr>
        <sz val="10"/>
        <color rgb="FF1F2A30"/>
        <rFont val="WenQuanYi Zen Hei"/>
        <family val="2"/>
      </rPr>
      <t xml:space="preserve">は元メールの </t>
    </r>
    <r>
      <rPr>
        <sz val="10"/>
        <color rgb="FF1F2A30"/>
        <rFont val="Meiryo UI"/>
        <family val="0"/>
        <charset val="1"/>
      </rPr>
      <t xml:space="preserve">CC</t>
    </r>
    <r>
      <rPr>
        <sz val="10"/>
        <color rgb="FF1F2A30"/>
        <rFont val="WenQuanYi Zen Hei"/>
        <family val="2"/>
      </rPr>
      <t xml:space="preserve">（自分を除く）になる</t>
    </r>
  </si>
  <si>
    <t xml:space="preserve">TC-050</t>
  </si>
  <si>
    <r>
      <rPr>
        <sz val="10"/>
        <color rgb="FF1F2A30"/>
        <rFont val="WenQuanYi Zen Hei"/>
        <family val="2"/>
      </rPr>
      <t xml:space="preserve">社内参加者を</t>
    </r>
    <r>
      <rPr>
        <sz val="10"/>
        <color rgb="FF1F2A30"/>
        <rFont val="Meiryo UI"/>
        <family val="0"/>
        <charset val="1"/>
      </rPr>
      <t xml:space="preserve">CC</t>
    </r>
  </si>
  <si>
    <r>
      <rPr>
        <sz val="10"/>
        <color rgb="FF1F2A30"/>
        <rFont val="WenQuanYi Zen Hei"/>
        <family val="2"/>
      </rPr>
      <t xml:space="preserve">「社内参加者をメールの</t>
    </r>
    <r>
      <rPr>
        <sz val="10"/>
        <color rgb="FF1F2A30"/>
        <rFont val="Meiryo UI"/>
        <family val="0"/>
        <charset val="1"/>
      </rPr>
      <t xml:space="preserve">CC</t>
    </r>
    <r>
      <rPr>
        <sz val="10"/>
        <color rgb="FF1F2A30"/>
        <rFont val="WenQuanYi Zen Hei"/>
        <family val="2"/>
      </rPr>
      <t xml:space="preserve">に追加」オン</t>
    </r>
  </si>
  <si>
    <r>
      <rPr>
        <sz val="10"/>
        <color rgb="FF1F2A30"/>
        <rFont val="Meiryo UI"/>
        <family val="0"/>
        <charset val="1"/>
      </rPr>
      <t xml:space="preserve">CC </t>
    </r>
    <r>
      <rPr>
        <sz val="10"/>
        <color rgb="FF1F2A30"/>
        <rFont val="WenQuanYi Zen Hei"/>
        <family val="2"/>
      </rPr>
      <t xml:space="preserve">に社内参加者が追加される</t>
    </r>
  </si>
  <si>
    <t xml:space="preserve">TC-051</t>
  </si>
  <si>
    <t xml:space="preserve">本文（先方提示の候補へ回答）</t>
  </si>
  <si>
    <t xml:space="preserve">メールからの流れ</t>
  </si>
  <si>
    <t xml:space="preserve">下書きを開く</t>
  </si>
  <si>
    <t xml:space="preserve">「ご提示いただいた候補のうち…」の文面で、選んだ候補・形式・弊社参加者・署名が入る</t>
  </si>
  <si>
    <t xml:space="preserve">TC-052</t>
  </si>
  <si>
    <t xml:space="preserve">本文（こちらから提示）</t>
  </si>
  <si>
    <t xml:space="preserve">新規で作成の流れ</t>
  </si>
  <si>
    <t xml:space="preserve">「下記の候補日でいかがでしょうか」の文面になる</t>
  </si>
  <si>
    <t xml:space="preserve">TC-053</t>
  </si>
  <si>
    <t xml:space="preserve">形式ごとの記載</t>
  </si>
  <si>
    <r>
      <rPr>
        <sz val="10"/>
        <color rgb="FF1F2A30"/>
        <rFont val="WenQuanYi Zen Hei"/>
        <family val="2"/>
      </rPr>
      <t xml:space="preserve">形式を訪問・</t>
    </r>
    <r>
      <rPr>
        <sz val="10"/>
        <color rgb="FF1F2A30"/>
        <rFont val="Meiryo UI"/>
        <family val="0"/>
        <charset val="1"/>
      </rPr>
      <t xml:space="preserve">Web </t>
    </r>
    <r>
      <rPr>
        <sz val="10"/>
        <color rgb="FF1F2A30"/>
        <rFont val="WenQuanYi Zen Hei"/>
        <family val="2"/>
      </rPr>
      <t xml:space="preserve">でそれぞれ作成、訪問は場所を入力</t>
    </r>
  </si>
  <si>
    <r>
      <rPr>
        <sz val="10"/>
        <color rgb="FF1F2A30"/>
        <rFont val="WenQuanYi Zen Hei"/>
        <family val="2"/>
      </rPr>
      <t xml:space="preserve">訪問は「場所：…」が入り、</t>
    </r>
    <r>
      <rPr>
        <sz val="10"/>
        <color rgb="FF1F2A30"/>
        <rFont val="Meiryo UI"/>
        <family val="0"/>
        <charset val="1"/>
      </rPr>
      <t xml:space="preserve">Web </t>
    </r>
    <r>
      <rPr>
        <sz val="10"/>
        <color rgb="FF1F2A30"/>
        <rFont val="WenQuanYi Zen Hei"/>
        <family val="2"/>
      </rPr>
      <t xml:space="preserve">は「</t>
    </r>
    <r>
      <rPr>
        <sz val="10"/>
        <color rgb="FF1F2A30"/>
        <rFont val="Meiryo UI"/>
        <family val="0"/>
        <charset val="1"/>
      </rPr>
      <t xml:space="preserve">URL</t>
    </r>
    <r>
      <rPr>
        <sz val="10"/>
        <color rgb="FF1F2A30"/>
        <rFont val="WenQuanYi Zen Hei"/>
        <family val="2"/>
      </rPr>
      <t xml:space="preserve">は日程確定後にお送りいたします」が入る</t>
    </r>
  </si>
  <si>
    <t xml:space="preserve">TC-054</t>
  </si>
  <si>
    <t xml:space="preserve">下書きを開いて編集</t>
  </si>
  <si>
    <t xml:space="preserve">完了画面で「下書きを開いて編集・送信」</t>
  </si>
  <si>
    <t xml:space="preserve">メール作成画面が開き、編集・送信できる</t>
  </si>
  <si>
    <t xml:space="preserve">TC-055</t>
  </si>
  <si>
    <t xml:space="preserve">安全性</t>
  </si>
  <si>
    <t xml:space="preserve">自動送信しない</t>
  </si>
  <si>
    <t xml:space="preserve">一連の操作を行い、送信済みフォルダを確認</t>
  </si>
  <si>
    <t xml:space="preserve">自分で送信するまで、メールは一切送信されていない</t>
  </si>
  <si>
    <t xml:space="preserve">TC-056</t>
  </si>
  <si>
    <t xml:space="preserve">検出</t>
  </si>
  <si>
    <t xml:space="preserve">日付での確定検出</t>
  </si>
  <si>
    <r>
      <rPr>
        <sz val="10"/>
        <color rgb="FF1F2A30"/>
        <rFont val="WenQuanYi Zen Hei"/>
        <family val="2"/>
      </rPr>
      <t xml:space="preserve">先方から「</t>
    </r>
    <r>
      <rPr>
        <sz val="10"/>
        <color rgb="FF1F2A30"/>
        <rFont val="Meiryo UI"/>
        <family val="0"/>
        <charset val="1"/>
      </rPr>
      <t xml:space="preserve">9/16</t>
    </r>
    <r>
      <rPr>
        <sz val="10"/>
        <color rgb="FF1F2A30"/>
        <rFont val="WenQuanYi Zen Hei"/>
        <family val="2"/>
      </rPr>
      <t xml:space="preserve">でお願いします」と返信</t>
    </r>
  </si>
  <si>
    <t xml:space="preserve">返信メールを開く</t>
  </si>
  <si>
    <r>
      <rPr>
        <sz val="10"/>
        <color rgb="FF1F2A30"/>
        <rFont val="WenQuanYi Zen Hei"/>
        <family val="2"/>
      </rPr>
      <t xml:space="preserve">「確定のご連絡を検出しました」と </t>
    </r>
    <r>
      <rPr>
        <sz val="10"/>
        <color rgb="FF1F2A30"/>
        <rFont val="Meiryo UI"/>
        <family val="0"/>
        <charset val="1"/>
      </rPr>
      <t xml:space="preserve">9/16 </t>
    </r>
    <r>
      <rPr>
        <sz val="10"/>
        <color rgb="FF1F2A30"/>
        <rFont val="WenQuanYi Zen Hei"/>
        <family val="2"/>
      </rPr>
      <t xml:space="preserve">の候補が表示され、選択されている</t>
    </r>
  </si>
  <si>
    <t xml:space="preserve">TC-057</t>
  </si>
  <si>
    <t xml:space="preserve">日・曜日での確定検出</t>
  </si>
  <si>
    <r>
      <rPr>
        <sz val="10"/>
        <color rgb="FF1F2A30"/>
        <rFont val="WenQuanYi Zen Hei"/>
        <family val="2"/>
      </rPr>
      <t xml:space="preserve">「</t>
    </r>
    <r>
      <rPr>
        <sz val="10"/>
        <color rgb="FF1F2A30"/>
        <rFont val="Meiryo UI"/>
        <family val="0"/>
        <charset val="1"/>
      </rPr>
      <t xml:space="preserve">16</t>
    </r>
    <r>
      <rPr>
        <sz val="10"/>
        <color rgb="FF1F2A30"/>
        <rFont val="WenQuanYi Zen Hei"/>
        <family val="2"/>
      </rPr>
      <t xml:space="preserve">日で」「水曜日で」と返信（候補内で一意）</t>
    </r>
  </si>
  <si>
    <t xml:space="preserve">該当する候補が検出される</t>
  </si>
  <si>
    <t xml:space="preserve">TC-058</t>
  </si>
  <si>
    <t xml:space="preserve">判定できない返信</t>
  </si>
  <si>
    <t xml:space="preserve">日付の記載がない返信「承知しました」</t>
  </si>
  <si>
    <t xml:space="preserve">「確定日を特定できませんでした」と表示され、一覧から選択できる</t>
  </si>
  <si>
    <t xml:space="preserve">TC-059</t>
  </si>
  <si>
    <t xml:space="preserve">お断りの返信</t>
  </si>
  <si>
    <t xml:space="preserve">「いずれも難しく、別の候補を…」と返信</t>
  </si>
  <si>
    <t xml:space="preserve">「候補日が合わなかった可能性があります」と「候補日を出し直す」ボタンが表示される</t>
  </si>
  <si>
    <t xml:space="preserve">TC-060</t>
  </si>
  <si>
    <t xml:space="preserve">返信前</t>
  </si>
  <si>
    <t xml:space="preserve">自分が送った打診メールのみのスレッド</t>
  </si>
  <si>
    <t xml:space="preserve">スレッドを開く</t>
  </si>
  <si>
    <t xml:space="preserve">「先方からの返信待ちです」と表示される</t>
  </si>
  <si>
    <t xml:space="preserve">TC-061</t>
  </si>
  <si>
    <t xml:space="preserve">別スレッドでの返信</t>
  </si>
  <si>
    <t xml:space="preserve">先方が件名を変えて返信（会社名・案件名は含む）</t>
  </si>
  <si>
    <t xml:space="preserve">調整中の案件と紐づき、確定画面が表示される</t>
  </si>
  <si>
    <t xml:space="preserve">TC-062</t>
  </si>
  <si>
    <t xml:space="preserve">確定処理</t>
  </si>
  <si>
    <r>
      <rPr>
        <sz val="10"/>
        <color rgb="FF1F2A30"/>
        <rFont val="Meiryo UI"/>
        <family val="0"/>
        <charset val="1"/>
      </rPr>
      <t xml:space="preserve">Google Meet </t>
    </r>
    <r>
      <rPr>
        <sz val="10"/>
        <color rgb="FF1F2A30"/>
        <rFont val="WenQuanYi Zen Hei"/>
        <family val="2"/>
      </rPr>
      <t xml:space="preserve">で確定</t>
    </r>
  </si>
  <si>
    <r>
      <rPr>
        <sz val="10"/>
        <color rgb="FF1F2A30"/>
        <rFont val="WenQuanYi Zen Hei"/>
        <family val="2"/>
      </rPr>
      <t xml:space="preserve">「カレンダーを更新」「返信メールの下書き」オン、ビデオ会議 </t>
    </r>
    <r>
      <rPr>
        <sz val="10"/>
        <color rgb="FF1F2A30"/>
        <rFont val="Meiryo UI"/>
        <family val="0"/>
        <charset val="1"/>
      </rPr>
      <t xml:space="preserve">Google Meet</t>
    </r>
  </si>
  <si>
    <t xml:space="preserve">「日程を確定する」</t>
  </si>
  <si>
    <r>
      <rPr>
        <sz val="10"/>
        <color rgb="FF1F2A30"/>
        <rFont val="WenQuanYi Zen Hei"/>
        <family val="2"/>
      </rPr>
      <t xml:space="preserve">予定が「【確定】…」（緑）になり </t>
    </r>
    <r>
      <rPr>
        <sz val="10"/>
        <color rgb="FF1F2A30"/>
        <rFont val="Meiryo UI"/>
        <family val="0"/>
        <charset val="1"/>
      </rPr>
      <t xml:space="preserve">Meet </t>
    </r>
    <r>
      <rPr>
        <sz val="10"/>
        <color rgb="FF1F2A30"/>
        <rFont val="WenQuanYi Zen Hei"/>
        <family val="2"/>
      </rPr>
      <t xml:space="preserve">リンクが付く。他の候補の仮押さえが削除される。確定メールの下書きに日時と </t>
    </r>
    <r>
      <rPr>
        <sz val="10"/>
        <color rgb="FF1F2A30"/>
        <rFont val="Meiryo UI"/>
        <family val="0"/>
        <charset val="1"/>
      </rPr>
      <t xml:space="preserve">Meet </t>
    </r>
    <r>
      <rPr>
        <sz val="10"/>
        <color rgb="FF1F2A30"/>
        <rFont val="WenQuanYi Zen Hei"/>
        <family val="2"/>
      </rPr>
      <t xml:space="preserve">の </t>
    </r>
    <r>
      <rPr>
        <sz val="10"/>
        <color rgb="FF1F2A30"/>
        <rFont val="Meiryo UI"/>
        <family val="0"/>
        <charset val="1"/>
      </rPr>
      <t xml:space="preserve">URL </t>
    </r>
    <r>
      <rPr>
        <sz val="10"/>
        <color rgb="FF1F2A30"/>
        <rFont val="WenQuanYi Zen Hei"/>
        <family val="2"/>
      </rPr>
      <t xml:space="preserve">が入る</t>
    </r>
  </si>
  <si>
    <t xml:space="preserve">TC-063</t>
  </si>
  <si>
    <t xml:space="preserve">社内参加者への招待</t>
  </si>
  <si>
    <t xml:space="preserve">「社内参加者にカレンダー招待を送信」オン</t>
  </si>
  <si>
    <t xml:space="preserve">確定する</t>
  </si>
  <si>
    <t xml:space="preserve">社内参加者に招待メールが届き、カレンダーに確定予定が入る</t>
  </si>
  <si>
    <t xml:space="preserve">TC-064</t>
  </si>
  <si>
    <t xml:space="preserve">先方への招待</t>
  </si>
  <si>
    <t xml:space="preserve">「先方もカレンダー招待に追加」オン</t>
  </si>
  <si>
    <t xml:space="preserve">先方に招待メールが届く（社外役アカウントで確認）</t>
  </si>
  <si>
    <t xml:space="preserve">TC-065</t>
  </si>
  <si>
    <t xml:space="preserve">訪問で会議なし</t>
  </si>
  <si>
    <t xml:space="preserve">形式「訪問」、ビデオ会議「作成しない」、場所を入力</t>
  </si>
  <si>
    <t xml:space="preserve">会議リンクは作られず、予定と確定メールに場所が入る</t>
  </si>
  <si>
    <t xml:space="preserve">TC-066</t>
  </si>
  <si>
    <r>
      <rPr>
        <sz val="10"/>
        <color rgb="FF1F2A30"/>
        <rFont val="Meiryo UI"/>
        <family val="0"/>
        <charset val="1"/>
      </rPr>
      <t xml:space="preserve">URL </t>
    </r>
    <r>
      <rPr>
        <sz val="10"/>
        <color rgb="FF1F2A30"/>
        <rFont val="WenQuanYi Zen Hei"/>
        <family val="2"/>
      </rPr>
      <t xml:space="preserve">手入力</t>
    </r>
  </si>
  <si>
    <r>
      <rPr>
        <sz val="10"/>
        <color rgb="FF1F2A30"/>
        <rFont val="WenQuanYi Zen Hei"/>
        <family val="2"/>
      </rPr>
      <t xml:space="preserve">ビデオ会議「その他（</t>
    </r>
    <r>
      <rPr>
        <sz val="10"/>
        <color rgb="FF1F2A30"/>
        <rFont val="Meiryo UI"/>
        <family val="0"/>
        <charset val="1"/>
      </rPr>
      <t xml:space="preserve">URL</t>
    </r>
    <r>
      <rPr>
        <sz val="10"/>
        <color rgb="FF1F2A30"/>
        <rFont val="WenQuanYi Zen Hei"/>
        <family val="2"/>
      </rPr>
      <t xml:space="preserve">を手入力）」、</t>
    </r>
    <r>
      <rPr>
        <sz val="10"/>
        <color rgb="FF1F2A30"/>
        <rFont val="Meiryo UI"/>
        <family val="0"/>
        <charset val="1"/>
      </rPr>
      <t xml:space="preserve">URL </t>
    </r>
    <r>
      <rPr>
        <sz val="10"/>
        <color rgb="FF1F2A30"/>
        <rFont val="WenQuanYi Zen Hei"/>
        <family val="2"/>
      </rPr>
      <t xml:space="preserve">を入力</t>
    </r>
  </si>
  <si>
    <r>
      <rPr>
        <sz val="10"/>
        <color rgb="FF1F2A30"/>
        <rFont val="WenQuanYi Zen Hei"/>
        <family val="2"/>
      </rPr>
      <t xml:space="preserve">入力した </t>
    </r>
    <r>
      <rPr>
        <sz val="10"/>
        <color rgb="FF1F2A30"/>
        <rFont val="Meiryo UI"/>
        <family val="0"/>
        <charset val="1"/>
      </rPr>
      <t xml:space="preserve">URL </t>
    </r>
    <r>
      <rPr>
        <sz val="10"/>
        <color rgb="FF1F2A30"/>
        <rFont val="WenQuanYi Zen Hei"/>
        <family val="2"/>
      </rPr>
      <t xml:space="preserve">が予定の場所・説明と確定メールに入る</t>
    </r>
  </si>
  <si>
    <t xml:space="preserve">TC-067</t>
  </si>
  <si>
    <r>
      <rPr>
        <sz val="10"/>
        <color rgb="FF1F2A30"/>
        <rFont val="Meiryo UI"/>
        <family val="0"/>
        <charset val="1"/>
      </rPr>
      <t xml:space="preserve">URL </t>
    </r>
    <r>
      <rPr>
        <sz val="10"/>
        <color rgb="FF1F2A30"/>
        <rFont val="WenQuanYi Zen Hei"/>
        <family val="2"/>
      </rPr>
      <t xml:space="preserve">手入力が空</t>
    </r>
  </si>
  <si>
    <r>
      <rPr>
        <sz val="10"/>
        <color rgb="FF1F2A30"/>
        <rFont val="WenQuanYi Zen Hei"/>
        <family val="2"/>
      </rPr>
      <t xml:space="preserve">「その他（</t>
    </r>
    <r>
      <rPr>
        <sz val="10"/>
        <color rgb="FF1F2A30"/>
        <rFont val="Meiryo UI"/>
        <family val="0"/>
        <charset val="1"/>
      </rPr>
      <t xml:space="preserve">URL</t>
    </r>
    <r>
      <rPr>
        <sz val="10"/>
        <color rgb="FF1F2A30"/>
        <rFont val="WenQuanYi Zen Hei"/>
        <family val="2"/>
      </rPr>
      <t xml:space="preserve">を手入力）」で </t>
    </r>
    <r>
      <rPr>
        <sz val="10"/>
        <color rgb="FF1F2A30"/>
        <rFont val="Meiryo UI"/>
        <family val="0"/>
        <charset val="1"/>
      </rPr>
      <t xml:space="preserve">URL </t>
    </r>
    <r>
      <rPr>
        <sz val="10"/>
        <color rgb="FF1F2A30"/>
        <rFont val="WenQuanYi Zen Hei"/>
        <family val="2"/>
      </rPr>
      <t xml:space="preserve">空欄</t>
    </r>
  </si>
  <si>
    <r>
      <rPr>
        <sz val="10"/>
        <color rgb="FF1F2A30"/>
        <rFont val="WenQuanYi Zen Hei"/>
        <family val="2"/>
      </rPr>
      <t xml:space="preserve">「会議</t>
    </r>
    <r>
      <rPr>
        <sz val="10"/>
        <color rgb="FF1F2A30"/>
        <rFont val="Meiryo UI"/>
        <family val="0"/>
        <charset val="1"/>
      </rPr>
      <t xml:space="preserve">URL</t>
    </r>
    <r>
      <rPr>
        <sz val="10"/>
        <color rgb="FF1F2A30"/>
        <rFont val="WenQuanYi Zen Hei"/>
        <family val="2"/>
      </rPr>
      <t xml:space="preserve">を入力してください」と通知され、処理されない</t>
    </r>
  </si>
  <si>
    <t xml:space="preserve">TC-068</t>
  </si>
  <si>
    <r>
      <rPr>
        <sz val="10"/>
        <color rgb="FF1F2A30"/>
        <rFont val="WenQuanYi Zen Hei"/>
        <family val="2"/>
      </rPr>
      <t xml:space="preserve">未設定の </t>
    </r>
    <r>
      <rPr>
        <sz val="10"/>
        <color rgb="FF1F2A30"/>
        <rFont val="Meiryo UI"/>
        <family val="0"/>
        <charset val="1"/>
      </rPr>
      <t xml:space="preserve">Zoom</t>
    </r>
    <r>
      <rPr>
        <sz val="10"/>
        <color rgb="FF1F2A30"/>
        <rFont val="WenQuanYi Zen Hei"/>
        <family val="2"/>
      </rPr>
      <t xml:space="preserve">・</t>
    </r>
    <r>
      <rPr>
        <sz val="10"/>
        <color rgb="FF1F2A30"/>
        <rFont val="Meiryo UI"/>
        <family val="0"/>
        <charset val="1"/>
      </rPr>
      <t xml:space="preserve">Teams </t>
    </r>
    <r>
      <rPr>
        <sz val="10"/>
        <color rgb="FF1F2A30"/>
        <rFont val="WenQuanYi Zen Hei"/>
        <family val="2"/>
      </rPr>
      <t xml:space="preserve">を選択</t>
    </r>
  </si>
  <si>
    <r>
      <rPr>
        <sz val="10"/>
        <color rgb="FF1F2A30"/>
        <rFont val="Meiryo UI"/>
        <family val="0"/>
        <charset val="1"/>
      </rPr>
      <t xml:space="preserve">Zoom</t>
    </r>
    <r>
      <rPr>
        <sz val="10"/>
        <color rgb="FF1F2A30"/>
        <rFont val="WenQuanYi Zen Hei"/>
        <family val="2"/>
      </rPr>
      <t xml:space="preserve">・</t>
    </r>
    <r>
      <rPr>
        <sz val="10"/>
        <color rgb="FF1F2A30"/>
        <rFont val="Meiryo UI"/>
        <family val="0"/>
        <charset val="1"/>
      </rPr>
      <t xml:space="preserve">Teams </t>
    </r>
    <r>
      <rPr>
        <sz val="10"/>
        <color rgb="FF1F2A30"/>
        <rFont val="WenQuanYi Zen Hei"/>
        <family val="2"/>
      </rPr>
      <t xml:space="preserve">未設定</t>
    </r>
  </si>
  <si>
    <r>
      <rPr>
        <sz val="10"/>
        <color rgb="FF1F2A30"/>
        <rFont val="Meiryo UI"/>
        <family val="0"/>
        <charset val="1"/>
      </rPr>
      <t xml:space="preserve">Zoom </t>
    </r>
    <r>
      <rPr>
        <sz val="10"/>
        <color rgb="FF1F2A30"/>
        <rFont val="WenQuanYi Zen Hei"/>
        <family val="2"/>
      </rPr>
      <t xml:space="preserve">を選んで確定する</t>
    </r>
  </si>
  <si>
    <t xml:space="preserve">「連携が設定されていません」とエラー通知され、カレンダー・下書きは変更されない</t>
  </si>
  <si>
    <t xml:space="preserve">TC-069</t>
  </si>
  <si>
    <t xml:space="preserve">カレンダーを更新しない</t>
  </si>
  <si>
    <t xml:space="preserve">「カレンダーを更新」オフ、ビデオ会議「作成しない」</t>
  </si>
  <si>
    <t xml:space="preserve">仮押さえはそのまま残り、確定メールの下書きのみ作成される</t>
  </si>
  <si>
    <t xml:space="preserve">TC-070</t>
  </si>
  <si>
    <t xml:space="preserve">確定して下書きを開く</t>
  </si>
  <si>
    <t xml:space="preserve">「確定して下書きを開く」</t>
  </si>
  <si>
    <t xml:space="preserve">確定処理が行われ、そのまま確定メールの作成画面が開く</t>
  </si>
  <si>
    <t xml:space="preserve">TC-071</t>
  </si>
  <si>
    <t xml:space="preserve">確定後</t>
  </si>
  <si>
    <t xml:space="preserve">確定済みの再表示</t>
  </si>
  <si>
    <t xml:space="preserve">確定済みの案件</t>
  </si>
  <si>
    <t xml:space="preserve">同じスレッドを再度開く</t>
  </si>
  <si>
    <r>
      <rPr>
        <sz val="10"/>
        <color rgb="FF1F2A30"/>
        <rFont val="WenQuanYi Zen Hei"/>
        <family val="2"/>
      </rPr>
      <t xml:space="preserve">「日程確定済み」画面に日時・会議</t>
    </r>
    <r>
      <rPr>
        <sz val="10"/>
        <color rgb="FF1F2A30"/>
        <rFont val="Meiryo UI"/>
        <family val="0"/>
        <charset val="1"/>
      </rPr>
      <t xml:space="preserve">URL</t>
    </r>
    <r>
      <rPr>
        <sz val="10"/>
        <color rgb="FF1F2A30"/>
        <rFont val="WenQuanYi Zen Hei"/>
        <family val="2"/>
      </rPr>
      <t xml:space="preserve">・カレンダーへのリンクが表示される</t>
    </r>
  </si>
  <si>
    <t xml:space="preserve">TC-072</t>
  </si>
  <si>
    <t xml:space="preserve">出し直し</t>
  </si>
  <si>
    <t xml:space="preserve">候補日を出し直す</t>
  </si>
  <si>
    <t xml:space="preserve">調整中の案件</t>
  </si>
  <si>
    <t xml:space="preserve">確定画面で「候補日を出し直す」</t>
  </si>
  <si>
    <t xml:space="preserve">仮押さえがすべて削除され、「新規で作成」画面に移る</t>
  </si>
  <si>
    <t xml:space="preserve">TC-073</t>
  </si>
  <si>
    <t xml:space="preserve">中止</t>
  </si>
  <si>
    <t xml:space="preserve">調整を中止</t>
  </si>
  <si>
    <t xml:space="preserve">確定画面で「調整を中止」</t>
  </si>
  <si>
    <t xml:space="preserve">仮押さえがすべて削除され、進行中の一覧から消える</t>
  </si>
  <si>
    <t xml:space="preserve">TC-074</t>
  </si>
  <si>
    <t xml:space="preserve">一覧</t>
  </si>
  <si>
    <t xml:space="preserve">進行中の日程調整</t>
  </si>
  <si>
    <t xml:space="preserve">調整中・確定済みの案件が複数</t>
  </si>
  <si>
    <t xml:space="preserve">「︙」→「進行中の日程調整」から案件を選ぶ</t>
  </si>
  <si>
    <t xml:space="preserve">案件が状態つきで一覧表示され、選ぶと確定画面または確定済み画面が開く</t>
  </si>
  <si>
    <t xml:space="preserve">TC-075</t>
  </si>
  <si>
    <t xml:space="preserve">並行</t>
  </si>
  <si>
    <t xml:space="preserve">複数案件の並行</t>
  </si>
  <si>
    <r>
      <rPr>
        <sz val="10"/>
        <color rgb="FF1F2A30"/>
        <rFont val="WenQuanYi Zen Hei"/>
        <family val="2"/>
      </rPr>
      <t xml:space="preserve">別々の取引先と</t>
    </r>
    <r>
      <rPr>
        <sz val="10"/>
        <color rgb="FF1F2A30"/>
        <rFont val="Meiryo UI"/>
        <family val="0"/>
        <charset val="1"/>
      </rPr>
      <t xml:space="preserve">3</t>
    </r>
    <r>
      <rPr>
        <sz val="10"/>
        <color rgb="FF1F2A30"/>
        <rFont val="WenQuanYi Zen Hei"/>
        <family val="2"/>
      </rPr>
      <t xml:space="preserve">案件を同時に調整中</t>
    </r>
  </si>
  <si>
    <t xml:space="preserve">各スレッドを開いて確定する</t>
  </si>
  <si>
    <t xml:space="preserve">案件が混ざらず、それぞれ正しい候補・仮押さえで確定できる</t>
  </si>
  <si>
    <t xml:space="preserve">TC-076</t>
  </si>
  <si>
    <t xml:space="preserve">性能</t>
  </si>
  <si>
    <t xml:space="preserve">応答時間</t>
  </si>
  <si>
    <r>
      <rPr>
        <sz val="10"/>
        <color rgb="FF1F2A30"/>
        <rFont val="WenQuanYi Zen Hei"/>
        <family val="2"/>
      </rPr>
      <t xml:space="preserve">参加者</t>
    </r>
    <r>
      <rPr>
        <sz val="10"/>
        <color rgb="FF1F2A30"/>
        <rFont val="Meiryo UI"/>
        <family val="0"/>
        <charset val="1"/>
      </rPr>
      <t xml:space="preserve">5</t>
    </r>
    <r>
      <rPr>
        <sz val="10"/>
        <color rgb="FF1F2A30"/>
        <rFont val="WenQuanYi Zen Hei"/>
        <family val="2"/>
      </rPr>
      <t xml:space="preserve">名、候補</t>
    </r>
    <r>
      <rPr>
        <sz val="10"/>
        <color rgb="FF1F2A30"/>
        <rFont val="Meiryo UI"/>
        <family val="0"/>
        <charset val="1"/>
      </rPr>
      <t xml:space="preserve">3</t>
    </r>
    <r>
      <rPr>
        <sz val="10"/>
        <color rgb="FF1F2A30"/>
        <rFont val="WenQuanYi Zen Hei"/>
        <family val="2"/>
      </rPr>
      <t xml:space="preserve">件</t>
    </r>
  </si>
  <si>
    <t xml:space="preserve">「空き状況を確認」「候補日を送る」「日程を確定する」の所要時間を計測</t>
  </si>
  <si>
    <r>
      <rPr>
        <sz val="10"/>
        <color rgb="FF1F2A30"/>
        <rFont val="WenQuanYi Zen Hei"/>
        <family val="2"/>
      </rPr>
      <t xml:space="preserve">いずれも </t>
    </r>
    <r>
      <rPr>
        <sz val="10"/>
        <color rgb="FF1F2A30"/>
        <rFont val="Meiryo UI"/>
        <family val="0"/>
        <charset val="1"/>
      </rPr>
      <t xml:space="preserve">10 </t>
    </r>
    <r>
      <rPr>
        <sz val="10"/>
        <color rgb="FF1F2A30"/>
        <rFont val="WenQuanYi Zen Hei"/>
        <family val="2"/>
      </rPr>
      <t xml:space="preserve">秒以内に画面が切り替わる（目標値・案）</t>
    </r>
  </si>
  <si>
    <t xml:space="preserve">非機能</t>
  </si>
  <si>
    <t xml:space="preserve">TC-077</t>
  </si>
  <si>
    <t xml:space="preserve">参加者が多い場合</t>
  </si>
  <si>
    <r>
      <rPr>
        <sz val="10"/>
        <color rgb="FF1F2A30"/>
        <rFont val="WenQuanYi Zen Hei"/>
        <family val="2"/>
      </rPr>
      <t xml:space="preserve">参加者</t>
    </r>
    <r>
      <rPr>
        <sz val="10"/>
        <color rgb="FF1F2A30"/>
        <rFont val="Meiryo UI"/>
        <family val="0"/>
        <charset val="1"/>
      </rPr>
      <t xml:space="preserve">15</t>
    </r>
    <r>
      <rPr>
        <sz val="10"/>
        <color rgb="FF1F2A30"/>
        <rFont val="WenQuanYi Zen Hei"/>
        <family val="2"/>
      </rPr>
      <t xml:space="preserve">名</t>
    </r>
  </si>
  <si>
    <t xml:space="preserve">タイムアウトせずに結果が表示される</t>
  </si>
  <si>
    <t xml:space="preserve">TC-078</t>
  </si>
  <si>
    <t xml:space="preserve">データ</t>
  </si>
  <si>
    <t xml:space="preserve">他の利用者の案件が見えない</t>
  </si>
  <si>
    <r>
      <rPr>
        <sz val="10"/>
        <color rgb="FF1F2A30"/>
        <rFont val="WenQuanYi Zen Hei"/>
        <family val="2"/>
      </rPr>
      <t xml:space="preserve">利用者</t>
    </r>
    <r>
      <rPr>
        <sz val="10"/>
        <color rgb="FF1F2A30"/>
        <rFont val="Meiryo UI"/>
        <family val="0"/>
        <charset val="1"/>
      </rPr>
      <t xml:space="preserve">A</t>
    </r>
    <r>
      <rPr>
        <sz val="10"/>
        <color rgb="FF1F2A30"/>
        <rFont val="WenQuanYi Zen Hei"/>
        <family val="2"/>
      </rPr>
      <t xml:space="preserve">と</t>
    </r>
    <r>
      <rPr>
        <sz val="10"/>
        <color rgb="FF1F2A30"/>
        <rFont val="Meiryo UI"/>
        <family val="0"/>
        <charset val="1"/>
      </rPr>
      <t xml:space="preserve">B</t>
    </r>
    <r>
      <rPr>
        <sz val="10"/>
        <color rgb="FF1F2A30"/>
        <rFont val="WenQuanYi Zen Hei"/>
        <family val="2"/>
      </rPr>
      <t xml:space="preserve">がそれぞれ案件を作成</t>
    </r>
  </si>
  <si>
    <r>
      <rPr>
        <sz val="10"/>
        <color rgb="FF1F2A30"/>
        <rFont val="Meiryo UI"/>
        <family val="0"/>
        <charset val="1"/>
      </rPr>
      <t xml:space="preserve">B</t>
    </r>
    <r>
      <rPr>
        <sz val="10"/>
        <color rgb="FF1F2A30"/>
        <rFont val="WenQuanYi Zen Hei"/>
        <family val="2"/>
      </rPr>
      <t xml:space="preserve">の「進行中の日程調整」を開く</t>
    </r>
  </si>
  <si>
    <r>
      <rPr>
        <sz val="10"/>
        <color rgb="FF1F2A30"/>
        <rFont val="Meiryo UI"/>
        <family val="0"/>
        <charset val="1"/>
      </rPr>
      <t xml:space="preserve">A</t>
    </r>
    <r>
      <rPr>
        <sz val="10"/>
        <color rgb="FF1F2A30"/>
        <rFont val="WenQuanYi Zen Hei"/>
        <family val="2"/>
      </rPr>
      <t xml:space="preserve">の案件は表示されない</t>
    </r>
  </si>
  <si>
    <t xml:space="preserve">TC-079</t>
  </si>
  <si>
    <t xml:space="preserve">権限</t>
  </si>
  <si>
    <t xml:space="preserve">承認画面のスコープ</t>
  </si>
  <si>
    <t xml:space="preserve">初回承認画面または管理コンソールの権限一覧を確認</t>
  </si>
  <si>
    <r>
      <rPr>
        <sz val="10"/>
        <color rgb="FF1F2A30"/>
        <rFont val="Meiryo UI"/>
        <family val="0"/>
        <charset val="1"/>
      </rPr>
      <t xml:space="preserve">Gmail</t>
    </r>
    <r>
      <rPr>
        <sz val="10"/>
        <color rgb="FF1F2A30"/>
        <rFont val="WenQuanYi Zen Hei"/>
        <family val="2"/>
      </rPr>
      <t xml:space="preserve">・カレンダー・ディレクトリなど、仕様書記載の権限のみが要求されている</t>
    </r>
  </si>
  <si>
    <t xml:space="preserve">TC-080</t>
  </si>
  <si>
    <r>
      <rPr>
        <sz val="10"/>
        <color rgb="FF1F2A30"/>
        <rFont val="Meiryo UI"/>
        <family val="0"/>
        <charset val="1"/>
      </rPr>
      <t xml:space="preserve">Gmail </t>
    </r>
    <r>
      <rPr>
        <sz val="10"/>
        <color rgb="FF1F2A30"/>
        <rFont val="WenQuanYi Zen Hei"/>
        <family val="2"/>
      </rPr>
      <t xml:space="preserve">モバイルアプリ</t>
    </r>
  </si>
  <si>
    <r>
      <rPr>
        <sz val="10"/>
        <color rgb="FF1F2A30"/>
        <rFont val="WenQuanYi Zen Hei"/>
        <family val="2"/>
      </rPr>
      <t xml:space="preserve">スマートフォンの </t>
    </r>
    <r>
      <rPr>
        <sz val="10"/>
        <color rgb="FF1F2A30"/>
        <rFont val="Meiryo UI"/>
        <family val="0"/>
        <charset val="1"/>
      </rPr>
      <t xml:space="preserve">Gmail </t>
    </r>
    <r>
      <rPr>
        <sz val="10"/>
        <color rgb="FF1F2A30"/>
        <rFont val="WenQuanYi Zen Hei"/>
        <family val="2"/>
      </rPr>
      <t xml:space="preserve">アプリ</t>
    </r>
  </si>
  <si>
    <t xml:space="preserve">メールを開いてアドオンを表示</t>
  </si>
  <si>
    <t xml:space="preserve">サイドバーの内容が表示され、空き確認まで操作できる（参考確認）</t>
  </si>
  <si>
    <t xml:space="preserve">TC-081</t>
  </si>
  <si>
    <t xml:space="preserve">展開</t>
  </si>
  <si>
    <t xml:space="preserve">管理者インストールの反映</t>
  </si>
  <si>
    <t xml:space="preserve">パイロットのグループに管理者インストール</t>
  </si>
  <si>
    <r>
      <rPr>
        <sz val="10"/>
        <color rgb="FF1F2A30"/>
        <rFont val="WenQuanYi Zen Hei"/>
        <family val="2"/>
      </rPr>
      <t xml:space="preserve">対象者・対象外の社員で </t>
    </r>
    <r>
      <rPr>
        <sz val="10"/>
        <color rgb="FF1F2A30"/>
        <rFont val="Meiryo UI"/>
        <family val="0"/>
        <charset val="1"/>
      </rPr>
      <t xml:space="preserve">Gmail </t>
    </r>
    <r>
      <rPr>
        <sz val="10"/>
        <color rgb="FF1F2A30"/>
        <rFont val="WenQuanYi Zen Hei"/>
        <family val="2"/>
      </rPr>
      <t xml:space="preserve">を開く</t>
    </r>
  </si>
  <si>
    <t xml:space="preserve">対象者にのみアドオンが表示される</t>
  </si>
  <si>
    <t xml:space="preserve">運用</t>
  </si>
  <si>
    <t xml:space="preserve">TC-082</t>
  </si>
  <si>
    <t xml:space="preserve">バージョンアップ</t>
  </si>
  <si>
    <t xml:space="preserve">「デプロイを管理」で新バージョンに更新</t>
  </si>
  <si>
    <r>
      <rPr>
        <sz val="10"/>
        <color rgb="FF1F2A30"/>
        <rFont val="WenQuanYi Zen Hei"/>
        <family val="2"/>
      </rPr>
      <t xml:space="preserve">利用者が </t>
    </r>
    <r>
      <rPr>
        <sz val="10"/>
        <color rgb="FF1F2A30"/>
        <rFont val="Meiryo UI"/>
        <family val="0"/>
        <charset val="1"/>
      </rPr>
      <t xml:space="preserve">Gmail </t>
    </r>
    <r>
      <rPr>
        <sz val="10"/>
        <color rgb="FF1F2A30"/>
        <rFont val="WenQuanYi Zen Hei"/>
        <family val="2"/>
      </rPr>
      <t xml:space="preserve">を再読み込み</t>
    </r>
  </si>
  <si>
    <t xml:space="preserve">利用者の操作なしで新バージョンの動作になる。進行中の案件が引き継がれている</t>
  </si>
  <si>
    <t xml:space="preserve">抽出精度テスト（実際の取引先メールで確認）</t>
  </si>
  <si>
    <r>
      <rPr>
        <sz val="10"/>
        <color rgb="FF6B7B83"/>
        <rFont val="Meiryo UI"/>
        <family val="0"/>
        <charset val="1"/>
      </rPr>
      <t xml:space="preserve">1</t>
    </r>
    <r>
      <rPr>
        <sz val="10"/>
        <color rgb="FF6B7B83"/>
        <rFont val="WenQuanYi Zen Hei"/>
        <family val="2"/>
      </rPr>
      <t xml:space="preserve">〜</t>
    </r>
    <r>
      <rPr>
        <sz val="10"/>
        <color rgb="FF6B7B83"/>
        <rFont val="Meiryo UI"/>
        <family val="0"/>
        <charset val="1"/>
      </rPr>
      <t xml:space="preserve">10</t>
    </r>
    <r>
      <rPr>
        <sz val="10"/>
        <color rgb="FF6B7B83"/>
        <rFont val="WenQuanYi Zen Hei"/>
        <family val="2"/>
      </rPr>
      <t xml:space="preserve">行目は代表的な書き方の例（確認用）。</t>
    </r>
    <r>
      <rPr>
        <sz val="10"/>
        <color rgb="FF6B7B83"/>
        <rFont val="Meiryo UI"/>
        <family val="0"/>
        <charset val="1"/>
      </rPr>
      <t xml:space="preserve">11</t>
    </r>
    <r>
      <rPr>
        <sz val="10"/>
        <color rgb="FF6B7B83"/>
        <rFont val="WenQuanYi Zen Hei"/>
        <family val="2"/>
      </rPr>
      <t xml:space="preserve">行目以降に実際に届いたメールを記録してください。個人情報・取引情報は要約して記載すること。</t>
    </r>
  </si>
  <si>
    <t xml:space="preserve">送信元（会社・匿名化可）</t>
  </si>
  <si>
    <t xml:space="preserve">本文の候補日の書き方（原文を要約）</t>
  </si>
  <si>
    <t xml:space="preserve">期待する候補（正解）</t>
  </si>
  <si>
    <t xml:space="preserve">アドオンの抽出結果</t>
  </si>
  <si>
    <t xml:space="preserve">確定日の検出</t>
  </si>
  <si>
    <t xml:space="preserve">備考</t>
  </si>
  <si>
    <t xml:space="preserve">判定の基準</t>
  </si>
  <si>
    <t xml:space="preserve">EX-01</t>
  </si>
  <si>
    <t xml:space="preserve">例</t>
  </si>
  <si>
    <t xml:space="preserve">社内例</t>
  </si>
  <si>
    <r>
      <rPr>
        <sz val="10"/>
        <color rgb="FF1F2A30"/>
        <rFont val="WenQuanYi Zen Hei"/>
        <family val="2"/>
      </rPr>
      <t xml:space="preserve">・</t>
    </r>
    <r>
      <rPr>
        <sz val="10"/>
        <color rgb="FF1F2A30"/>
        <rFont val="Meiryo UI"/>
        <family val="0"/>
        <charset val="1"/>
      </rPr>
      <t xml:space="preserve">9/15</t>
    </r>
    <r>
      <rPr>
        <sz val="10"/>
        <color rgb="FF1F2A30"/>
        <rFont val="WenQuanYi Zen Hei"/>
        <family val="2"/>
      </rPr>
      <t xml:space="preserve">（月）</t>
    </r>
    <r>
      <rPr>
        <sz val="10"/>
        <color rgb="FF1F2A30"/>
        <rFont val="Meiryo UI"/>
        <family val="0"/>
        <charset val="1"/>
      </rPr>
      <t xml:space="preserve">13:00</t>
    </r>
    <r>
      <rPr>
        <sz val="10"/>
        <color rgb="FF1F2A30"/>
        <rFont val="WenQuanYi Zen Hei"/>
        <family val="2"/>
      </rPr>
      <t xml:space="preserve">〜</t>
    </r>
    <r>
      <rPr>
        <sz val="10"/>
        <color rgb="FF1F2A30"/>
        <rFont val="Meiryo UI"/>
        <family val="0"/>
        <charset val="1"/>
      </rPr>
      <t xml:space="preserve">14:00
</t>
    </r>
    <r>
      <rPr>
        <sz val="10"/>
        <color rgb="FF1F2A30"/>
        <rFont val="WenQuanYi Zen Hei"/>
        <family val="2"/>
      </rPr>
      <t xml:space="preserve">・</t>
    </r>
    <r>
      <rPr>
        <sz val="10"/>
        <color rgb="FF1F2A30"/>
        <rFont val="Meiryo UI"/>
        <family val="0"/>
        <charset val="1"/>
      </rPr>
      <t xml:space="preserve">9/16</t>
    </r>
    <r>
      <rPr>
        <sz val="10"/>
        <color rgb="FF1F2A30"/>
        <rFont val="WenQuanYi Zen Hei"/>
        <family val="2"/>
      </rPr>
      <t xml:space="preserve">（火）</t>
    </r>
    <r>
      <rPr>
        <sz val="10"/>
        <color rgb="FF1F2A30"/>
        <rFont val="Meiryo UI"/>
        <family val="0"/>
        <charset val="1"/>
      </rPr>
      <t xml:space="preserve">10:00</t>
    </r>
    <r>
      <rPr>
        <sz val="10"/>
        <color rgb="FF1F2A30"/>
        <rFont val="WenQuanYi Zen Hei"/>
        <family val="2"/>
      </rPr>
      <t xml:space="preserve">〜</t>
    </r>
    <r>
      <rPr>
        <sz val="10"/>
        <color rgb="FF1F2A30"/>
        <rFont val="Meiryo UI"/>
        <family val="0"/>
        <charset val="1"/>
      </rPr>
      <t xml:space="preserve">11:00</t>
    </r>
  </si>
  <si>
    <r>
      <rPr>
        <sz val="10"/>
        <color rgb="FF1F2A30"/>
        <rFont val="Meiryo UI"/>
        <family val="0"/>
        <charset val="1"/>
      </rPr>
      <t xml:space="preserve">9/15 13:00-14:00</t>
    </r>
    <r>
      <rPr>
        <sz val="10"/>
        <color rgb="FF1F2A30"/>
        <rFont val="WenQuanYi Zen Hei"/>
        <family val="2"/>
      </rPr>
      <t xml:space="preserve">、</t>
    </r>
    <r>
      <rPr>
        <sz val="10"/>
        <color rgb="FF1F2A30"/>
        <rFont val="Meiryo UI"/>
        <family val="0"/>
        <charset val="1"/>
      </rPr>
      <t xml:space="preserve">9/16 10:00-11:00</t>
    </r>
  </si>
  <si>
    <t xml:space="preserve">○：すべての候補が正しく抽出された</t>
  </si>
  <si>
    <t xml:space="preserve">EX-02</t>
  </si>
  <si>
    <t xml:space="preserve">９月２０日（日） １４時～１５時半</t>
  </si>
  <si>
    <t xml:space="preserve">9/20 14:00-15:30</t>
  </si>
  <si>
    <t xml:space="preserve">△：一部のみ抽出／余分な候補あり（手修正で対応可）</t>
  </si>
  <si>
    <t xml:space="preserve">EX-03</t>
  </si>
  <si>
    <r>
      <rPr>
        <sz val="10"/>
        <color rgb="FF1F2A30"/>
        <rFont val="Meiryo UI"/>
        <family val="0"/>
        <charset val="1"/>
      </rPr>
      <t xml:space="preserve">10</t>
    </r>
    <r>
      <rPr>
        <sz val="10"/>
        <color rgb="FF1F2A30"/>
        <rFont val="WenQuanYi Zen Hei"/>
        <family val="2"/>
      </rPr>
      <t xml:space="preserve">月</t>
    </r>
    <r>
      <rPr>
        <sz val="10"/>
        <color rgb="FF1F2A30"/>
        <rFont val="Meiryo UI"/>
        <family val="0"/>
        <charset val="1"/>
      </rPr>
      <t xml:space="preserve">1</t>
    </r>
    <r>
      <rPr>
        <sz val="10"/>
        <color rgb="FF1F2A30"/>
        <rFont val="WenQuanYi Zen Hei"/>
        <family val="2"/>
      </rPr>
      <t xml:space="preserve">日 午後</t>
    </r>
    <r>
      <rPr>
        <sz val="10"/>
        <color rgb="FF1F2A30"/>
        <rFont val="Meiryo UI"/>
        <family val="0"/>
        <charset val="1"/>
      </rPr>
      <t xml:space="preserve">1</t>
    </r>
    <r>
      <rPr>
        <sz val="10"/>
        <color rgb="FF1F2A30"/>
        <rFont val="WenQuanYi Zen Hei"/>
        <family val="2"/>
      </rPr>
      <t xml:space="preserve">時から</t>
    </r>
  </si>
  <si>
    <r>
      <rPr>
        <sz val="10"/>
        <color rgb="FF1F2A30"/>
        <rFont val="Meiryo UI"/>
        <family val="0"/>
        <charset val="1"/>
      </rPr>
      <t xml:space="preserve">10/1 13:00-</t>
    </r>
    <r>
      <rPr>
        <sz val="10"/>
        <color rgb="FF1F2A30"/>
        <rFont val="WenQuanYi Zen Hei"/>
        <family val="2"/>
      </rPr>
      <t xml:space="preserve">（既定の所要時間）</t>
    </r>
  </si>
  <si>
    <r>
      <rPr>
        <sz val="10"/>
        <color rgb="FF1F2A30"/>
        <rFont val="Meiryo UI"/>
        <family val="0"/>
        <charset val="1"/>
      </rPr>
      <t xml:space="preserve">×</t>
    </r>
    <r>
      <rPr>
        <sz val="10"/>
        <color rgb="FF1F2A30"/>
        <rFont val="WenQuanYi Zen Hei"/>
        <family val="2"/>
      </rPr>
      <t xml:space="preserve">：抽出されない・誤った日時</t>
    </r>
  </si>
  <si>
    <t xml:space="preserve">EX-04</t>
  </si>
  <si>
    <r>
      <rPr>
        <sz val="10"/>
        <color rgb="FF1F2A30"/>
        <rFont val="Meiryo UI"/>
        <family val="0"/>
        <charset val="1"/>
      </rPr>
      <t xml:space="preserve">10/2(</t>
    </r>
    <r>
      <rPr>
        <sz val="10"/>
        <color rgb="FF1F2A30"/>
        <rFont val="WenQuanYi Zen Hei"/>
        <family val="2"/>
      </rPr>
      <t xml:space="preserve">金</t>
    </r>
    <r>
      <rPr>
        <sz val="10"/>
        <color rgb="FF1F2A30"/>
        <rFont val="Meiryo UI"/>
        <family val="0"/>
        <charset val="1"/>
      </rPr>
      <t xml:space="preserve">) 10:00-11:00</t>
    </r>
    <r>
      <rPr>
        <sz val="10"/>
        <color rgb="FF1F2A30"/>
        <rFont val="WenQuanYi Zen Hei"/>
        <family val="2"/>
      </rPr>
      <t xml:space="preserve">、</t>
    </r>
    <r>
      <rPr>
        <sz val="10"/>
        <color rgb="FF1F2A30"/>
        <rFont val="Meiryo UI"/>
        <family val="0"/>
        <charset val="1"/>
      </rPr>
      <t xml:space="preserve">14:00-15:00</t>
    </r>
  </si>
  <si>
    <r>
      <rPr>
        <sz val="10"/>
        <color rgb="FF1F2A30"/>
        <rFont val="Meiryo UI"/>
        <family val="0"/>
        <charset val="1"/>
      </rPr>
      <t xml:space="preserve">10/2 10:00-11:00</t>
    </r>
    <r>
      <rPr>
        <sz val="10"/>
        <color rgb="FF1F2A30"/>
        <rFont val="WenQuanYi Zen Hei"/>
        <family val="2"/>
      </rPr>
      <t xml:space="preserve">、</t>
    </r>
    <r>
      <rPr>
        <sz val="10"/>
        <color rgb="FF1F2A30"/>
        <rFont val="Meiryo UI"/>
        <family val="0"/>
        <charset val="1"/>
      </rPr>
      <t xml:space="preserve">10/2 14:00-15:00</t>
    </r>
  </si>
  <si>
    <t xml:space="preserve">確定日の検出：先方の確定返信で正しい候補が選ばれたか</t>
  </si>
  <si>
    <t xml:space="preserve">EX-05</t>
  </si>
  <si>
    <r>
      <rPr>
        <sz val="10"/>
        <color rgb="FF1F2A30"/>
        <rFont val="Meiryo UI"/>
        <family val="0"/>
        <charset val="1"/>
      </rPr>
      <t xml:space="preserve">9/21(</t>
    </r>
    <r>
      <rPr>
        <sz val="10"/>
        <color rgb="FF1F2A30"/>
        <rFont val="WenQuanYi Zen Hei"/>
        <family val="2"/>
      </rPr>
      <t xml:space="preserve">月</t>
    </r>
    <r>
      <rPr>
        <sz val="10"/>
        <color rgb="FF1F2A30"/>
        <rFont val="Meiryo UI"/>
        <family val="0"/>
        <charset val="1"/>
      </rPr>
      <t xml:space="preserve">)
  10:00</t>
    </r>
    <r>
      <rPr>
        <sz val="10"/>
        <color rgb="FF1F2A30"/>
        <rFont val="WenQuanYi Zen Hei"/>
        <family val="2"/>
      </rPr>
      <t xml:space="preserve">〜</t>
    </r>
    <r>
      <rPr>
        <sz val="10"/>
        <color rgb="FF1F2A30"/>
        <rFont val="Meiryo UI"/>
        <family val="0"/>
        <charset val="1"/>
      </rPr>
      <t xml:space="preserve">11:30</t>
    </r>
  </si>
  <si>
    <t xml:space="preserve">9/21 10:00-11:30</t>
  </si>
  <si>
    <t xml:space="preserve">EX-06</t>
  </si>
  <si>
    <r>
      <rPr>
        <sz val="10"/>
        <color rgb="FF1F2A30"/>
        <rFont val="Meiryo UI"/>
        <family val="0"/>
        <charset val="1"/>
      </rPr>
      <t xml:space="preserve">9/18 1</t>
    </r>
    <r>
      <rPr>
        <sz val="10"/>
        <color rgb="FF1F2A30"/>
        <rFont val="WenQuanYi Zen Hei"/>
        <family val="2"/>
      </rPr>
      <t xml:space="preserve">時〜</t>
    </r>
    <r>
      <rPr>
        <sz val="10"/>
        <color rgb="FF1F2A30"/>
        <rFont val="Meiryo UI"/>
        <family val="0"/>
        <charset val="1"/>
      </rPr>
      <t xml:space="preserve">2</t>
    </r>
    <r>
      <rPr>
        <sz val="10"/>
        <color rgb="FF1F2A30"/>
        <rFont val="WenQuanYi Zen Hei"/>
        <family val="2"/>
      </rPr>
      <t xml:space="preserve">時（</t>
    </r>
    <r>
      <rPr>
        <sz val="10"/>
        <color rgb="FF1F2A30"/>
        <rFont val="Meiryo UI"/>
        <family val="0"/>
        <charset val="1"/>
      </rPr>
      <t xml:space="preserve">1</t>
    </r>
    <r>
      <rPr>
        <sz val="10"/>
        <color rgb="FF1F2A30"/>
        <rFont val="WenQuanYi Zen Hei"/>
        <family val="2"/>
      </rPr>
      <t xml:space="preserve">時間程度）</t>
    </r>
  </si>
  <si>
    <t xml:space="preserve">9/18 13:00-14:00</t>
  </si>
  <si>
    <t xml:space="preserve">EX-07</t>
  </si>
  <si>
    <r>
      <rPr>
        <sz val="10"/>
        <color rgb="FF1F2A30"/>
        <rFont val="Meiryo UI"/>
        <family val="0"/>
        <charset val="1"/>
      </rPr>
      <t xml:space="preserve">2026/11/5 15:00</t>
    </r>
    <r>
      <rPr>
        <sz val="10"/>
        <color rgb="FF1F2A30"/>
        <rFont val="WenQuanYi Zen Hei"/>
        <family val="2"/>
      </rPr>
      <t xml:space="preserve">～</t>
    </r>
    <r>
      <rPr>
        <sz val="10"/>
        <color rgb="FF1F2A30"/>
        <rFont val="Meiryo UI"/>
        <family val="0"/>
        <charset val="1"/>
      </rPr>
      <t xml:space="preserve">16:00</t>
    </r>
  </si>
  <si>
    <t xml:space="preserve">11/5 15:00-16:00</t>
  </si>
  <si>
    <t xml:space="preserve">EX-08</t>
  </si>
  <si>
    <t xml:space="preserve">来週火曜の午後</t>
  </si>
  <si>
    <t xml:space="preserve">（既知の制約：抽出されない）</t>
  </si>
  <si>
    <t xml:space="preserve">EX-09</t>
  </si>
  <si>
    <r>
      <rPr>
        <sz val="10"/>
        <color rgb="FF1F2A30"/>
        <rFont val="Meiryo UI"/>
        <family val="0"/>
        <charset val="1"/>
      </rPr>
      <t xml:space="preserve">11/10</t>
    </r>
    <r>
      <rPr>
        <sz val="10"/>
        <color rgb="FF1F2A30"/>
        <rFont val="WenQuanYi Zen Hei"/>
        <family val="2"/>
      </rPr>
      <t xml:space="preserve">〜</t>
    </r>
    <r>
      <rPr>
        <sz val="10"/>
        <color rgb="FF1F2A30"/>
        <rFont val="Meiryo UI"/>
        <family val="0"/>
        <charset val="1"/>
      </rPr>
      <t xml:space="preserve">11/12</t>
    </r>
    <r>
      <rPr>
        <sz val="10"/>
        <color rgb="FF1F2A30"/>
        <rFont val="WenQuanYi Zen Hei"/>
        <family val="2"/>
      </rPr>
      <t xml:space="preserve">のいずれか終日</t>
    </r>
  </si>
  <si>
    <t xml:space="preserve">（既知の制約：時刻がないため抽出されない）</t>
  </si>
  <si>
    <t xml:space="preserve">EX-10</t>
  </si>
  <si>
    <t xml:space="preserve">Nov 5, 3pm-4pm</t>
  </si>
  <si>
    <t xml:space="preserve">（既知の制約：英語表記は抽出されない）</t>
  </si>
  <si>
    <t xml:space="preserve">RM-01</t>
  </si>
  <si>
    <t xml:space="preserve">実メール</t>
  </si>
  <si>
    <t xml:space="preserve">RM-02</t>
  </si>
  <si>
    <t xml:space="preserve">RM-03</t>
  </si>
  <si>
    <t xml:space="preserve">RM-04</t>
  </si>
  <si>
    <t xml:space="preserve">RM-05</t>
  </si>
  <si>
    <t xml:space="preserve">RM-06</t>
  </si>
  <si>
    <t xml:space="preserve">RM-07</t>
  </si>
  <si>
    <t xml:space="preserve">RM-08</t>
  </si>
  <si>
    <t xml:space="preserve">RM-09</t>
  </si>
  <si>
    <t xml:space="preserve">RM-10</t>
  </si>
  <si>
    <t xml:space="preserve">RM-11</t>
  </si>
  <si>
    <t xml:space="preserve">RM-12</t>
  </si>
  <si>
    <t xml:space="preserve">RM-13</t>
  </si>
  <si>
    <t xml:space="preserve">RM-14</t>
  </si>
  <si>
    <t xml:space="preserve">RM-15</t>
  </si>
  <si>
    <t xml:space="preserve">RM-16</t>
  </si>
  <si>
    <t xml:space="preserve">RM-17</t>
  </si>
  <si>
    <t xml:space="preserve">RM-18</t>
  </si>
  <si>
    <t xml:space="preserve">RM-19</t>
  </si>
  <si>
    <t xml:space="preserve">RM-20</t>
  </si>
  <si>
    <t xml:space="preserve">RM-21</t>
  </si>
  <si>
    <t xml:space="preserve">RM-22</t>
  </si>
  <si>
    <t xml:space="preserve">RM-23</t>
  </si>
  <si>
    <t xml:space="preserve">RM-24</t>
  </si>
  <si>
    <t xml:space="preserve">RM-25</t>
  </si>
  <si>
    <t xml:space="preserve">RM-26</t>
  </si>
  <si>
    <t xml:space="preserve">RM-27</t>
  </si>
  <si>
    <t xml:space="preserve">RM-28</t>
  </si>
  <si>
    <t xml:space="preserve">RM-29</t>
  </si>
  <si>
    <t xml:space="preserve">RM-30</t>
  </si>
  <si>
    <t xml:space="preserve">RM-31</t>
  </si>
  <si>
    <t xml:space="preserve">RM-32</t>
  </si>
  <si>
    <t xml:space="preserve">RM-33</t>
  </si>
  <si>
    <t xml:space="preserve">RM-34</t>
  </si>
  <si>
    <t xml:space="preserve">RM-35</t>
  </si>
  <si>
    <t xml:space="preserve">RM-36</t>
  </si>
  <si>
    <t xml:space="preserve">RM-37</t>
  </si>
  <si>
    <t xml:space="preserve">RM-38</t>
  </si>
  <si>
    <t xml:space="preserve">RM-39</t>
  </si>
  <si>
    <t xml:space="preserve">RM-40</t>
  </si>
  <si>
    <t xml:space="preserve">RM-41</t>
  </si>
  <si>
    <t xml:space="preserve">RM-42</t>
  </si>
  <si>
    <t xml:space="preserve">RM-43</t>
  </si>
  <si>
    <t xml:space="preserve">RM-44</t>
  </si>
  <si>
    <t xml:space="preserve">RM-45</t>
  </si>
  <si>
    <t xml:space="preserve">RM-46</t>
  </si>
  <si>
    <t xml:space="preserve">RM-47</t>
  </si>
  <si>
    <t xml:space="preserve">RM-48</t>
  </si>
  <si>
    <t xml:space="preserve">RM-49</t>
  </si>
  <si>
    <t xml:space="preserve">RM-50</t>
  </si>
  <si>
    <t xml:space="preserve">効果測定（パイロット期間の記録）</t>
  </si>
  <si>
    <r>
      <rPr>
        <sz val="10"/>
        <color rgb="FF6B7B83"/>
        <rFont val="WenQuanYi Zen Hei"/>
        <family val="2"/>
      </rPr>
      <t xml:space="preserve">導入前の時間は、直近の案件を思い出して</t>
    </r>
    <r>
      <rPr>
        <sz val="10"/>
        <color rgb="FF6B7B83"/>
        <rFont val="Meiryo UI"/>
        <family val="0"/>
        <charset val="1"/>
      </rPr>
      <t xml:space="preserve">1</t>
    </r>
    <r>
      <rPr>
        <sz val="10"/>
        <color rgb="FF6B7B83"/>
        <rFont val="WenQuanYi Zen Hei"/>
        <family val="2"/>
      </rPr>
      <t xml:space="preserve">案件あたりの平均を記入してください（受信〜確定メール送信までの作業時間の合計）。</t>
    </r>
  </si>
  <si>
    <t xml:space="preserve">氏名</t>
  </si>
  <si>
    <t xml:space="preserve">部署</t>
  </si>
  <si>
    <t xml:space="preserve">期間中の調整件数</t>
  </si>
  <si>
    <r>
      <rPr>
        <b val="true"/>
        <sz val="10"/>
        <color rgb="FFFFFFFF"/>
        <rFont val="WenQuanYi Zen Hei"/>
        <family val="2"/>
      </rPr>
      <t xml:space="preserve">導入前の平均時間（分</t>
    </r>
    <r>
      <rPr>
        <b val="true"/>
        <sz val="10"/>
        <color rgb="FFFFFFFF"/>
        <rFont val="Meiryo UI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件）</t>
    </r>
  </si>
  <si>
    <r>
      <rPr>
        <b val="true"/>
        <sz val="10"/>
        <color rgb="FFFFFFFF"/>
        <rFont val="WenQuanYi Zen Hei"/>
        <family val="2"/>
      </rPr>
      <t xml:space="preserve">導入後の平均時間（分</t>
    </r>
    <r>
      <rPr>
        <b val="true"/>
        <sz val="10"/>
        <color rgb="FFFFFFFF"/>
        <rFont val="Meiryo UI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件）</t>
    </r>
  </si>
  <si>
    <r>
      <rPr>
        <b val="true"/>
        <sz val="10"/>
        <color rgb="FFFFFFFF"/>
        <rFont val="WenQuanYi Zen Hei"/>
        <family val="2"/>
      </rPr>
      <t xml:space="preserve">削減時間（分</t>
    </r>
    <r>
      <rPr>
        <b val="true"/>
        <sz val="10"/>
        <color rgb="FFFFFFFF"/>
        <rFont val="Meiryo UI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件）</t>
    </r>
  </si>
  <si>
    <t xml:space="preserve">削減時間合計（分）</t>
  </si>
  <si>
    <r>
      <rPr>
        <b val="true"/>
        <sz val="10"/>
        <color rgb="FFFFFFFF"/>
        <rFont val="WenQuanYi Zen Hei"/>
        <family val="2"/>
      </rPr>
      <t xml:space="preserve">満足度（</t>
    </r>
    <r>
      <rPr>
        <b val="true"/>
        <sz val="10"/>
        <color rgb="FFFFFFFF"/>
        <rFont val="Meiryo UI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〜</t>
    </r>
    <r>
      <rPr>
        <b val="true"/>
        <sz val="10"/>
        <color rgb="FFFFFFFF"/>
        <rFont val="Meiryo UI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）</t>
    </r>
  </si>
  <si>
    <t xml:space="preserve">良かった点</t>
  </si>
  <si>
    <t xml:space="preserve">改善してほしい点</t>
  </si>
  <si>
    <t xml:space="preserve">合計・平均</t>
  </si>
  <si>
    <t xml:space="preserve">不具合・改善要望の管理</t>
  </si>
  <si>
    <r>
      <rPr>
        <b val="true"/>
        <sz val="10"/>
        <color rgb="FFFFFFFF"/>
        <rFont val="WenQuanYi Zen Hei"/>
        <family val="2"/>
      </rPr>
      <t xml:space="preserve">不具合</t>
    </r>
    <r>
      <rPr>
        <b val="true"/>
        <sz val="10"/>
        <color rgb="FFFFFFFF"/>
        <rFont val="Meiryo UI"/>
        <family val="0"/>
        <charset val="1"/>
      </rPr>
      <t xml:space="preserve">No.</t>
    </r>
  </si>
  <si>
    <t xml:space="preserve">発見日</t>
  </si>
  <si>
    <t xml:space="preserve">発見者</t>
  </si>
  <si>
    <r>
      <rPr>
        <b val="true"/>
        <sz val="10"/>
        <color rgb="FFFFFFFF"/>
        <rFont val="WenQuanYi Zen Hei"/>
        <family val="2"/>
      </rPr>
      <t xml:space="preserve">テスト</t>
    </r>
    <r>
      <rPr>
        <b val="true"/>
        <sz val="10"/>
        <color rgb="FFFFFFFF"/>
        <rFont val="Meiryo UI"/>
        <family val="0"/>
        <charset val="1"/>
      </rPr>
      <t xml:space="preserve">No.</t>
    </r>
  </si>
  <si>
    <t xml:space="preserve">種別</t>
  </si>
  <si>
    <t xml:space="preserve">現象</t>
  </si>
  <si>
    <t xml:space="preserve">再現手順</t>
  </si>
  <si>
    <t xml:space="preserve">重要度</t>
  </si>
  <si>
    <t xml:space="preserve">対応状況</t>
  </si>
  <si>
    <t xml:space="preserve">対応内容</t>
  </si>
  <si>
    <t xml:space="preserve">確認日</t>
  </si>
  <si>
    <t xml:space="preserve">確認者</t>
  </si>
  <si>
    <t xml:space="preserve">重要度の目安</t>
  </si>
  <si>
    <t xml:space="preserve">BUG-001</t>
  </si>
  <si>
    <t xml:space="preserve">高：業務に使えない、誤った日時で予定・メールが作られる、情報漏えいのおそれ</t>
  </si>
  <si>
    <t xml:space="preserve">BUG-002</t>
  </si>
  <si>
    <t xml:space="preserve">中：回避策はあるが手間がかかる</t>
  </si>
  <si>
    <t xml:space="preserve">BUG-003</t>
  </si>
  <si>
    <t xml:space="preserve">低：表示や文言の軽微な問題</t>
  </si>
  <si>
    <t xml:space="preserve">BUG-004</t>
  </si>
  <si>
    <t xml:space="preserve">BUG-005</t>
  </si>
  <si>
    <t xml:space="preserve">BUG-006</t>
  </si>
  <si>
    <t xml:space="preserve">BUG-007</t>
  </si>
  <si>
    <t xml:space="preserve">BUG-008</t>
  </si>
  <si>
    <t xml:space="preserve">BUG-009</t>
  </si>
  <si>
    <t xml:space="preserve">BUG-010</t>
  </si>
  <si>
    <t xml:space="preserve">BUG-011</t>
  </si>
  <si>
    <t xml:space="preserve">BUG-012</t>
  </si>
  <si>
    <t xml:space="preserve">BUG-013</t>
  </si>
  <si>
    <t xml:space="preserve">BUG-014</t>
  </si>
  <si>
    <t xml:space="preserve">BUG-015</t>
  </si>
  <si>
    <t xml:space="preserve">BUG-016</t>
  </si>
  <si>
    <t xml:space="preserve">BUG-017</t>
  </si>
  <si>
    <t xml:space="preserve">BUG-018</t>
  </si>
  <si>
    <t xml:space="preserve">BUG-019</t>
  </si>
  <si>
    <t xml:space="preserve">BUG-020</t>
  </si>
  <si>
    <t xml:space="preserve">BUG-021</t>
  </si>
  <si>
    <t xml:space="preserve">BUG-022</t>
  </si>
  <si>
    <t xml:space="preserve">BUG-023</t>
  </si>
  <si>
    <t xml:space="preserve">BUG-024</t>
  </si>
  <si>
    <t xml:space="preserve">BUG-025</t>
  </si>
  <si>
    <t xml:space="preserve">BUG-026</t>
  </si>
  <si>
    <t xml:space="preserve">BUG-027</t>
  </si>
  <si>
    <t xml:space="preserve">BUG-028</t>
  </si>
  <si>
    <t xml:space="preserve">BUG-029</t>
  </si>
  <si>
    <t xml:space="preserve">BUG-030</t>
  </si>
  <si>
    <t xml:space="preserve">BUG-031</t>
  </si>
  <si>
    <t xml:space="preserve">BUG-032</t>
  </si>
  <si>
    <t xml:space="preserve">BUG-033</t>
  </si>
  <si>
    <t xml:space="preserve">BUG-034</t>
  </si>
  <si>
    <t xml:space="preserve">BUG-035</t>
  </si>
  <si>
    <t xml:space="preserve">BUG-036</t>
  </si>
  <si>
    <t xml:space="preserve">BUG-037</t>
  </si>
  <si>
    <t xml:space="preserve">BUG-038</t>
  </si>
  <si>
    <t xml:space="preserve">BUG-039</t>
  </si>
  <si>
    <t xml:space="preserve">BUG-040</t>
  </si>
  <si>
    <t xml:space="preserve">BUG-041</t>
  </si>
  <si>
    <t xml:space="preserve">BUG-042</t>
  </si>
  <si>
    <t xml:space="preserve">BUG-043</t>
  </si>
  <si>
    <t xml:space="preserve">BUG-044</t>
  </si>
  <si>
    <t xml:space="preserve">BUG-045</t>
  </si>
  <si>
    <t xml:space="preserve">BUG-046</t>
  </si>
  <si>
    <t xml:space="preserve">BUG-047</t>
  </si>
  <si>
    <t xml:space="preserve">BUG-048</t>
  </si>
  <si>
    <t xml:space="preserve">BUG-049</t>
  </si>
  <si>
    <t xml:space="preserve">BUG-050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</si>
</sst>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0.0"/>
    <numFmt numFmtId="168" formatCode="yyyy/mm/dd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3C49"/>
      <name val="WenQuanYi Zen Hei"/>
      <family val="2"/>
    </font>
    <font>
      <b val="true"/>
      <sz val="16"/>
      <color rgb="FF0B3C49"/>
      <name val="Meiryo UI"/>
      <family val="0"/>
      <charset val="1"/>
    </font>
    <font>
      <b val="true"/>
      <sz val="11"/>
      <color rgb="FFFFFFFF"/>
      <name val="WenQuanYi Zen Hei"/>
      <family val="2"/>
    </font>
    <font>
      <b val="true"/>
      <sz val="10"/>
      <color rgb="FF1F2A30"/>
      <name val="WenQuanYi Zen Hei"/>
      <family val="2"/>
    </font>
    <font>
      <sz val="10"/>
      <color rgb="FF1F2A30"/>
      <name val="Meiryo UI"/>
      <family val="0"/>
      <charset val="1"/>
    </font>
    <font>
      <sz val="10"/>
      <color rgb="FF1F2A30"/>
      <name val="WenQuanYi Zen Hei"/>
      <family val="2"/>
    </font>
    <font>
      <b val="true"/>
      <sz val="10"/>
      <color rgb="FF1F2A30"/>
      <name val="Meiryo UI"/>
      <family val="0"/>
      <charset val="1"/>
    </font>
    <font>
      <sz val="10"/>
      <color rgb="FF6B7B83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Meiryo UI"/>
      <family val="0"/>
      <charset val="1"/>
    </font>
    <font>
      <b val="true"/>
      <sz val="12"/>
      <color rgb="FF0B3C49"/>
      <name val="WenQuanYi Zen Hei"/>
      <family val="2"/>
    </font>
    <font>
      <sz val="9"/>
      <color rgb="FF6B7B83"/>
      <name val="WenQuanYi Zen Hei"/>
      <family val="2"/>
    </font>
    <font>
      <sz val="10"/>
      <color rgb="FF6B7B83"/>
      <name val="Meiryo U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7A75"/>
        <bgColor rgb="FF008080"/>
      </patternFill>
    </fill>
    <fill>
      <patternFill patternType="solid">
        <fgColor rgb="FFDCEBE9"/>
        <bgColor rgb="FFE0E0E0"/>
      </patternFill>
    </fill>
    <fill>
      <patternFill patternType="solid">
        <fgColor rgb="FFFFF7CC"/>
        <bgColor rgb="FFFFFFFF"/>
      </patternFill>
    </fill>
    <fill>
      <patternFill patternType="solid">
        <fgColor rgb="FF0B3C49"/>
        <bgColor rgb="FF1F2A3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2C6"/>
      </left>
      <right style="thin">
        <color rgb="FFB7C2C6"/>
      </right>
      <top style="thin">
        <color rgb="FFB7C2C6"/>
      </top>
      <bottom style="thin">
        <color rgb="FFB7C2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C8E6C9"/>
        </patternFill>
      </fill>
    </dxf>
    <dxf>
      <fill>
        <patternFill>
          <bgColor rgb="FFF8C9C6"/>
        </patternFill>
      </fill>
    </dxf>
    <dxf>
      <fill>
        <patternFill patternType="solid">
          <fgColor rgb="FF0B3C4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A3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534F"/>
          <bgColor rgb="FF000000"/>
        </patternFill>
      </fill>
    </dxf>
    <dxf>
      <fill>
        <patternFill patternType="solid">
          <fgColor rgb="FFFFF7CC"/>
          <bgColor rgb="FF000000"/>
        </patternFill>
      </fill>
    </dxf>
    <dxf>
      <fill>
        <patternFill>
          <bgColor rgb="FFE0E0E0"/>
        </patternFill>
      </fill>
    </dxf>
    <dxf>
      <font>
        <name val="Meiryo UI"/>
        <charset val="1"/>
        <family val="0"/>
        <b val="1"/>
        <color rgb="FFD9534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A75"/>
      <rgbColor rgb="FFB7C2C6"/>
      <rgbColor rgb="FF6B7B83"/>
      <rgbColor rgb="FF9999FF"/>
      <rgbColor rgb="FF993366"/>
      <rgbColor rgb="FFFFF7CC"/>
      <rgbColor rgb="FFDCEBE9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8C9C6"/>
      <rgbColor rgb="FF3366FF"/>
      <rgbColor rgb="FF33CCCC"/>
      <rgbColor rgb="FF99CC00"/>
      <rgbColor rgb="FFFFCC00"/>
      <rgbColor rgb="FFFF9900"/>
      <rgbColor rgb="FFD9534F"/>
      <rgbColor rgb="FF666699"/>
      <rgbColor rgb="FF969696"/>
      <rgbColor rgb="FF0B3C49"/>
      <rgbColor rgb="FF339966"/>
      <rgbColor rgb="FF003300"/>
      <rgbColor rgb="FF333300"/>
      <rgbColor rgb="FF993300"/>
      <rgbColor rgb="FF993366"/>
      <rgbColor rgb="FF333399"/>
      <rgbColor rgb="FF1F2A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7A75"/>
    <pageSetUpPr fitToPage="true"/>
  </sheetPr>
  <dimension ref="A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20.85" hidden="false" customHeight="false" outlineLevel="0" collapsed="false">
      <c r="A1" s="1" t="s">
        <v>0</v>
      </c>
    </row>
    <row r="4" customFormat="false" ht="15" hidden="false" customHeight="false" outlineLevel="0" collapsed="false">
      <c r="A4" s="2" t="s">
        <v>1</v>
      </c>
      <c r="B4" s="3"/>
    </row>
    <row r="5" customFormat="false" ht="18" hidden="false" customHeight="true" outlineLevel="0" collapsed="false">
      <c r="A5" s="4" t="s">
        <v>2</v>
      </c>
      <c r="B5" s="5" t="s">
        <v>3</v>
      </c>
    </row>
    <row r="6" customFormat="false" ht="18" hidden="false" customHeight="true" outlineLevel="0" collapsed="false">
      <c r="A6" s="4" t="s">
        <v>4</v>
      </c>
      <c r="B6" s="5" t="s">
        <v>5</v>
      </c>
    </row>
    <row r="7" customFormat="false" ht="18" hidden="false" customHeight="true" outlineLevel="0" collapsed="false">
      <c r="A7" s="4" t="s">
        <v>6</v>
      </c>
      <c r="B7" s="6"/>
    </row>
    <row r="8" customFormat="false" ht="18" hidden="false" customHeight="true" outlineLevel="0" collapsed="false">
      <c r="A8" s="4" t="s">
        <v>7</v>
      </c>
      <c r="B8" s="6"/>
    </row>
    <row r="9" customFormat="false" ht="15" hidden="false" customHeight="false" outlineLevel="0" collapsed="false">
      <c r="A9" s="2" t="s">
        <v>8</v>
      </c>
      <c r="B9" s="3"/>
    </row>
    <row r="10" customFormat="false" ht="30" hidden="false" customHeight="true" outlineLevel="0" collapsed="false">
      <c r="A10" s="4" t="s">
        <v>8</v>
      </c>
      <c r="B10" s="7" t="s">
        <v>9</v>
      </c>
    </row>
    <row r="11" customFormat="false" ht="15" hidden="false" customHeight="false" outlineLevel="0" collapsed="false">
      <c r="A11" s="2" t="s">
        <v>10</v>
      </c>
      <c r="B11" s="3"/>
    </row>
    <row r="12" customFormat="false" ht="30" hidden="false" customHeight="true" outlineLevel="0" collapsed="false">
      <c r="A12" s="4" t="s">
        <v>11</v>
      </c>
      <c r="B12" s="7" t="s">
        <v>12</v>
      </c>
    </row>
    <row r="13" customFormat="false" ht="18" hidden="false" customHeight="true" outlineLevel="0" collapsed="false">
      <c r="A13" s="4" t="s">
        <v>13</v>
      </c>
      <c r="B13" s="5" t="s">
        <v>14</v>
      </c>
    </row>
    <row r="14" customFormat="false" ht="15" hidden="false" customHeight="false" outlineLevel="0" collapsed="false">
      <c r="A14" s="2" t="s">
        <v>15</v>
      </c>
      <c r="B14" s="3"/>
    </row>
    <row r="15" customFormat="false" ht="30" hidden="false" customHeight="true" outlineLevel="0" collapsed="false">
      <c r="A15" s="4" t="s">
        <v>16</v>
      </c>
      <c r="B15" s="7" t="s">
        <v>17</v>
      </c>
    </row>
    <row r="16" customFormat="false" ht="18" hidden="false" customHeight="true" outlineLevel="0" collapsed="false">
      <c r="A16" s="4" t="s">
        <v>18</v>
      </c>
      <c r="B16" s="5" t="s">
        <v>19</v>
      </c>
    </row>
    <row r="17" customFormat="false" ht="30" hidden="false" customHeight="true" outlineLevel="0" collapsed="false">
      <c r="A17" s="4" t="s">
        <v>20</v>
      </c>
      <c r="B17" s="7" t="s">
        <v>21</v>
      </c>
    </row>
    <row r="18" customFormat="false" ht="15" hidden="false" customHeight="false" outlineLevel="0" collapsed="false">
      <c r="A18" s="2" t="s">
        <v>22</v>
      </c>
      <c r="B18" s="3"/>
    </row>
    <row r="19" customFormat="false" ht="18" hidden="false" customHeight="true" outlineLevel="0" collapsed="false">
      <c r="A19" s="4" t="s">
        <v>23</v>
      </c>
      <c r="B19" s="7" t="s">
        <v>24</v>
      </c>
    </row>
    <row r="20" customFormat="false" ht="18" hidden="false" customHeight="true" outlineLevel="0" collapsed="false">
      <c r="A20" s="4" t="s">
        <v>25</v>
      </c>
      <c r="B20" s="7" t="s">
        <v>26</v>
      </c>
    </row>
    <row r="21" customFormat="false" ht="18" hidden="false" customHeight="true" outlineLevel="0" collapsed="false">
      <c r="A21" s="4" t="s">
        <v>27</v>
      </c>
      <c r="B21" s="7" t="s">
        <v>28</v>
      </c>
    </row>
    <row r="22" customFormat="false" ht="18" hidden="false" customHeight="true" outlineLevel="0" collapsed="false">
      <c r="A22" s="4" t="s">
        <v>29</v>
      </c>
      <c r="B22" s="7" t="s">
        <v>30</v>
      </c>
    </row>
    <row r="23" customFormat="false" ht="15" hidden="false" customHeight="false" outlineLevel="0" collapsed="false">
      <c r="A23" s="2" t="s">
        <v>31</v>
      </c>
      <c r="B23" s="3"/>
    </row>
    <row r="24" customFormat="false" ht="18" hidden="false" customHeight="true" outlineLevel="0" collapsed="false">
      <c r="A24" s="4" t="s">
        <v>32</v>
      </c>
      <c r="B24" s="7" t="s">
        <v>33</v>
      </c>
    </row>
    <row r="25" customFormat="false" ht="18" hidden="false" customHeight="true" outlineLevel="0" collapsed="false">
      <c r="A25" s="4" t="s">
        <v>34</v>
      </c>
      <c r="B25" s="7" t="s">
        <v>35</v>
      </c>
    </row>
    <row r="26" customFormat="false" ht="18" hidden="false" customHeight="true" outlineLevel="0" collapsed="false">
      <c r="A26" s="4" t="s">
        <v>36</v>
      </c>
      <c r="B26" s="5" t="s">
        <v>37</v>
      </c>
    </row>
    <row r="27" customFormat="false" ht="15" hidden="false" customHeight="false" outlineLevel="0" collapsed="false">
      <c r="A27" s="2" t="s">
        <v>38</v>
      </c>
      <c r="B27" s="3"/>
    </row>
    <row r="28" customFormat="false" ht="18" hidden="false" customHeight="true" outlineLevel="0" collapsed="false">
      <c r="A28" s="4" t="s">
        <v>39</v>
      </c>
      <c r="B28" s="7" t="s">
        <v>40</v>
      </c>
    </row>
    <row r="29" customFormat="false" ht="30" hidden="false" customHeight="true" outlineLevel="0" collapsed="false">
      <c r="A29" s="4" t="s">
        <v>41</v>
      </c>
      <c r="B29" s="5" t="s">
        <v>42</v>
      </c>
    </row>
    <row r="30" customFormat="false" ht="30" hidden="false" customHeight="true" outlineLevel="0" collapsed="false">
      <c r="A30" s="4" t="s">
        <v>43</v>
      </c>
      <c r="B30" s="7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7A75"/>
    <pageSetUpPr fitToPage="tru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7" min="3" style="0" width="8"/>
    <col collapsed="false" customWidth="true" hidden="false" outlineLevel="0" max="9" min="8" style="0" width="10"/>
  </cols>
  <sheetData>
    <row r="1" customFormat="false" ht="19.7" hidden="false" customHeight="false" outlineLevel="0" collapsed="false">
      <c r="A1" s="1" t="s">
        <v>45</v>
      </c>
    </row>
    <row r="2" customFormat="false" ht="15" hidden="false" customHeight="false" outlineLevel="0" collapsed="false">
      <c r="A2" s="8" t="s">
        <v>46</v>
      </c>
    </row>
    <row r="4" customFormat="false" ht="15" hidden="false" customHeight="false" outlineLevel="0" collapsed="false">
      <c r="A4" s="9" t="s">
        <v>47</v>
      </c>
      <c r="B4" s="9" t="s">
        <v>48</v>
      </c>
      <c r="C4" s="10" t="s">
        <v>49</v>
      </c>
      <c r="D4" s="10" t="s">
        <v>50</v>
      </c>
      <c r="E4" s="9" t="s">
        <v>51</v>
      </c>
      <c r="F4" s="9" t="s">
        <v>13</v>
      </c>
      <c r="G4" s="9" t="s">
        <v>52</v>
      </c>
      <c r="H4" s="9" t="s">
        <v>53</v>
      </c>
      <c r="I4" s="9" t="s">
        <v>54</v>
      </c>
    </row>
    <row r="5" customFormat="false" ht="15" hidden="false" customHeight="false" outlineLevel="0" collapsed="false">
      <c r="A5" s="11" t="s">
        <v>55</v>
      </c>
      <c r="B5" s="12" t="n">
        <f aca="false">COUNTIF(テストケース!$B$2:$B$83,$A5)</f>
        <v>7</v>
      </c>
      <c r="C5" s="12" t="n">
        <f aca="false">COUNTIFS(テストケース!$B$2:$B$83,$A5,テストケース!$J$2:$J$83,"OK")</f>
        <v>0</v>
      </c>
      <c r="D5" s="12" t="n">
        <f aca="false">COUNTIFS(テストケース!$B$2:$B$83,$A5,テストケース!$J$2:$J$83,"NG")</f>
        <v>0</v>
      </c>
      <c r="E5" s="12" t="n">
        <f aca="false">COUNTIFS(テストケース!$B$2:$B$83,$A5,テストケース!$J$2:$J$83,"保留")</f>
        <v>0</v>
      </c>
      <c r="F5" s="12" t="n">
        <f aca="false">COUNTIFS(テストケース!$B$2:$B$83,$A5,テストケース!$J$2:$J$83,"対象外")</f>
        <v>0</v>
      </c>
      <c r="G5" s="12" t="n">
        <f aca="false">B5-C5-D5-E5-F5</f>
        <v>7</v>
      </c>
      <c r="H5" s="13" t="n">
        <f aca="false">IF(B5-F5=0,"-",(C5+D5)/(B5-F5))</f>
        <v>0</v>
      </c>
      <c r="I5" s="13" t="str">
        <f aca="false">IF(C5+D5=0,"-",C5/(C5+D5))</f>
        <v>-</v>
      </c>
    </row>
    <row r="6" customFormat="false" ht="15" hidden="false" customHeight="false" outlineLevel="0" collapsed="false">
      <c r="A6" s="11" t="s">
        <v>56</v>
      </c>
      <c r="B6" s="12" t="n">
        <f aca="false">COUNTIF(テストケース!$B$2:$B$83,$A6)</f>
        <v>12</v>
      </c>
      <c r="C6" s="12" t="n">
        <f aca="false">COUNTIFS(テストケース!$B$2:$B$83,$A6,テストケース!$J$2:$J$83,"OK")</f>
        <v>0</v>
      </c>
      <c r="D6" s="12" t="n">
        <f aca="false">COUNTIFS(テストケース!$B$2:$B$83,$A6,テストケース!$J$2:$J$83,"NG")</f>
        <v>0</v>
      </c>
      <c r="E6" s="12" t="n">
        <f aca="false">COUNTIFS(テストケース!$B$2:$B$83,$A6,テストケース!$J$2:$J$83,"保留")</f>
        <v>0</v>
      </c>
      <c r="F6" s="12" t="n">
        <f aca="false">COUNTIFS(テストケース!$B$2:$B$83,$A6,テストケース!$J$2:$J$83,"対象外")</f>
        <v>0</v>
      </c>
      <c r="G6" s="12" t="n">
        <f aca="false">B6-C6-D6-E6-F6</f>
        <v>12</v>
      </c>
      <c r="H6" s="13" t="n">
        <f aca="false">IF(B6-F6=0,"-",(C6+D6)/(B6-F6))</f>
        <v>0</v>
      </c>
      <c r="I6" s="13" t="str">
        <f aca="false">IF(C6+D6=0,"-",C6/(C6+D6))</f>
        <v>-</v>
      </c>
    </row>
    <row r="7" customFormat="false" ht="15" hidden="false" customHeight="false" outlineLevel="0" collapsed="false">
      <c r="A7" s="11" t="s">
        <v>57</v>
      </c>
      <c r="B7" s="12" t="n">
        <f aca="false">COUNTIF(テストケース!$B$2:$B$83,$A7)</f>
        <v>5</v>
      </c>
      <c r="C7" s="12" t="n">
        <f aca="false">COUNTIFS(テストケース!$B$2:$B$83,$A7,テストケース!$J$2:$J$83,"OK")</f>
        <v>0</v>
      </c>
      <c r="D7" s="12" t="n">
        <f aca="false">COUNTIFS(テストケース!$B$2:$B$83,$A7,テストケース!$J$2:$J$83,"NG")</f>
        <v>0</v>
      </c>
      <c r="E7" s="12" t="n">
        <f aca="false">COUNTIFS(テストケース!$B$2:$B$83,$A7,テストケース!$J$2:$J$83,"保留")</f>
        <v>0</v>
      </c>
      <c r="F7" s="12" t="n">
        <f aca="false">COUNTIFS(テストケース!$B$2:$B$83,$A7,テストケース!$J$2:$J$83,"対象外")</f>
        <v>0</v>
      </c>
      <c r="G7" s="12" t="n">
        <f aca="false">B7-C7-D7-E7-F7</f>
        <v>5</v>
      </c>
      <c r="H7" s="13" t="n">
        <f aca="false">IF(B7-F7=0,"-",(C7+D7)/(B7-F7))</f>
        <v>0</v>
      </c>
      <c r="I7" s="13" t="str">
        <f aca="false">IF(C7+D7=0,"-",C7/(C7+D7))</f>
        <v>-</v>
      </c>
    </row>
    <row r="8" customFormat="false" ht="15" hidden="false" customHeight="false" outlineLevel="0" collapsed="false">
      <c r="A8" s="11" t="s">
        <v>58</v>
      </c>
      <c r="B8" s="12" t="n">
        <f aca="false">COUNTIF(テストケース!$B$2:$B$83,$A8)</f>
        <v>4</v>
      </c>
      <c r="C8" s="12" t="n">
        <f aca="false">COUNTIFS(テストケース!$B$2:$B$83,$A8,テストケース!$J$2:$J$83,"OK")</f>
        <v>0</v>
      </c>
      <c r="D8" s="12" t="n">
        <f aca="false">COUNTIFS(テストケース!$B$2:$B$83,$A8,テストケース!$J$2:$J$83,"NG")</f>
        <v>0</v>
      </c>
      <c r="E8" s="12" t="n">
        <f aca="false">COUNTIFS(テストケース!$B$2:$B$83,$A8,テストケース!$J$2:$J$83,"保留")</f>
        <v>0</v>
      </c>
      <c r="F8" s="12" t="n">
        <f aca="false">COUNTIFS(テストケース!$B$2:$B$83,$A8,テストケース!$J$2:$J$83,"対象外")</f>
        <v>0</v>
      </c>
      <c r="G8" s="12" t="n">
        <f aca="false">B8-C8-D8-E8-F8</f>
        <v>4</v>
      </c>
      <c r="H8" s="13" t="n">
        <f aca="false">IF(B8-F8=0,"-",(C8+D8)/(B8-F8))</f>
        <v>0</v>
      </c>
      <c r="I8" s="13" t="str">
        <f aca="false">IF(C8+D8=0,"-",C8/(C8+D8))</f>
        <v>-</v>
      </c>
    </row>
    <row r="9" customFormat="false" ht="15" hidden="false" customHeight="false" outlineLevel="0" collapsed="false">
      <c r="A9" s="11" t="s">
        <v>59</v>
      </c>
      <c r="B9" s="12" t="n">
        <f aca="false">COUNTIF(テストケース!$B$2:$B$83,$A9)</f>
        <v>7</v>
      </c>
      <c r="C9" s="12" t="n">
        <f aca="false">COUNTIFS(テストケース!$B$2:$B$83,$A9,テストケース!$J$2:$J$83,"OK")</f>
        <v>0</v>
      </c>
      <c r="D9" s="12" t="n">
        <f aca="false">COUNTIFS(テストケース!$B$2:$B$83,$A9,テストケース!$J$2:$J$83,"NG")</f>
        <v>0</v>
      </c>
      <c r="E9" s="12" t="n">
        <f aca="false">COUNTIFS(テストケース!$B$2:$B$83,$A9,テストケース!$J$2:$J$83,"保留")</f>
        <v>0</v>
      </c>
      <c r="F9" s="12" t="n">
        <f aca="false">COUNTIFS(テストケース!$B$2:$B$83,$A9,テストケース!$J$2:$J$83,"対象外")</f>
        <v>0</v>
      </c>
      <c r="G9" s="12" t="n">
        <f aca="false">B9-C9-D9-E9-F9</f>
        <v>7</v>
      </c>
      <c r="H9" s="13" t="n">
        <f aca="false">IF(B9-F9=0,"-",(C9+D9)/(B9-F9))</f>
        <v>0</v>
      </c>
      <c r="I9" s="13" t="str">
        <f aca="false">IF(C9+D9=0,"-",C9/(C9+D9))</f>
        <v>-</v>
      </c>
    </row>
    <row r="10" customFormat="false" ht="15" hidden="false" customHeight="false" outlineLevel="0" collapsed="false">
      <c r="A10" s="11" t="s">
        <v>60</v>
      </c>
      <c r="B10" s="12" t="n">
        <f aca="false">COUNTIF(テストケース!$B$2:$B$83,$A10)</f>
        <v>9</v>
      </c>
      <c r="C10" s="12" t="n">
        <f aca="false">COUNTIFS(テストケース!$B$2:$B$83,$A10,テストケース!$J$2:$J$83,"OK")</f>
        <v>0</v>
      </c>
      <c r="D10" s="12" t="n">
        <f aca="false">COUNTIFS(テストケース!$B$2:$B$83,$A10,テストケース!$J$2:$J$83,"NG")</f>
        <v>0</v>
      </c>
      <c r="E10" s="12" t="n">
        <f aca="false">COUNTIFS(テストケース!$B$2:$B$83,$A10,テストケース!$J$2:$J$83,"保留")</f>
        <v>0</v>
      </c>
      <c r="F10" s="12" t="n">
        <f aca="false">COUNTIFS(テストケース!$B$2:$B$83,$A10,テストケース!$J$2:$J$83,"対象外")</f>
        <v>0</v>
      </c>
      <c r="G10" s="12" t="n">
        <f aca="false">B10-C10-D10-E10-F10</f>
        <v>9</v>
      </c>
      <c r="H10" s="13" t="n">
        <f aca="false">IF(B10-F10=0,"-",(C10+D10)/(B10-F10))</f>
        <v>0</v>
      </c>
      <c r="I10" s="13" t="str">
        <f aca="false">IF(C10+D10=0,"-",C10/(C10+D10))</f>
        <v>-</v>
      </c>
    </row>
    <row r="11" customFormat="false" ht="15" hidden="false" customHeight="false" outlineLevel="0" collapsed="false">
      <c r="A11" s="11" t="s">
        <v>61</v>
      </c>
      <c r="B11" s="12" t="n">
        <f aca="false">COUNTIF(テストケース!$B$2:$B$83,$A11)</f>
        <v>11</v>
      </c>
      <c r="C11" s="12" t="n">
        <f aca="false">COUNTIFS(テストケース!$B$2:$B$83,$A11,テストケース!$J$2:$J$83,"OK")</f>
        <v>0</v>
      </c>
      <c r="D11" s="12" t="n">
        <f aca="false">COUNTIFS(テストケース!$B$2:$B$83,$A11,テストケース!$J$2:$J$83,"NG")</f>
        <v>0</v>
      </c>
      <c r="E11" s="12" t="n">
        <f aca="false">COUNTIFS(テストケース!$B$2:$B$83,$A11,テストケース!$J$2:$J$83,"保留")</f>
        <v>0</v>
      </c>
      <c r="F11" s="12" t="n">
        <f aca="false">COUNTIFS(テストケース!$B$2:$B$83,$A11,テストケース!$J$2:$J$83,"対象外")</f>
        <v>0</v>
      </c>
      <c r="G11" s="12" t="n">
        <f aca="false">B11-C11-D11-E11-F11</f>
        <v>11</v>
      </c>
      <c r="H11" s="13" t="n">
        <f aca="false">IF(B11-F11=0,"-",(C11+D11)/(B11-F11))</f>
        <v>0</v>
      </c>
      <c r="I11" s="13" t="str">
        <f aca="false">IF(C11+D11=0,"-",C11/(C11+D11))</f>
        <v>-</v>
      </c>
    </row>
    <row r="12" customFormat="false" ht="15" hidden="false" customHeight="false" outlineLevel="0" collapsed="false">
      <c r="A12" s="11" t="s">
        <v>62</v>
      </c>
      <c r="B12" s="12" t="n">
        <f aca="false">COUNTIF(テストケース!$B$2:$B$83,$A12)</f>
        <v>16</v>
      </c>
      <c r="C12" s="12" t="n">
        <f aca="false">COUNTIFS(テストケース!$B$2:$B$83,$A12,テストケース!$J$2:$J$83,"OK")</f>
        <v>0</v>
      </c>
      <c r="D12" s="12" t="n">
        <f aca="false">COUNTIFS(テストケース!$B$2:$B$83,$A12,テストケース!$J$2:$J$83,"NG")</f>
        <v>0</v>
      </c>
      <c r="E12" s="12" t="n">
        <f aca="false">COUNTIFS(テストケース!$B$2:$B$83,$A12,テストケース!$J$2:$J$83,"保留")</f>
        <v>0</v>
      </c>
      <c r="F12" s="12" t="n">
        <f aca="false">COUNTIFS(テストケース!$B$2:$B$83,$A12,テストケース!$J$2:$J$83,"対象外")</f>
        <v>0</v>
      </c>
      <c r="G12" s="12" t="n">
        <f aca="false">B12-C12-D12-E12-F12</f>
        <v>16</v>
      </c>
      <c r="H12" s="13" t="n">
        <f aca="false">IF(B12-F12=0,"-",(C12+D12)/(B12-F12))</f>
        <v>0</v>
      </c>
      <c r="I12" s="13" t="str">
        <f aca="false">IF(C12+D12=0,"-",C12/(C12+D12))</f>
        <v>-</v>
      </c>
    </row>
    <row r="13" customFormat="false" ht="15" hidden="false" customHeight="false" outlineLevel="0" collapsed="false">
      <c r="A13" s="11" t="s">
        <v>63</v>
      </c>
      <c r="B13" s="12" t="n">
        <f aca="false">COUNTIF(テストケース!$B$2:$B$83,$A13)</f>
        <v>4</v>
      </c>
      <c r="C13" s="12" t="n">
        <f aca="false">COUNTIFS(テストケース!$B$2:$B$83,$A13,テストケース!$J$2:$J$83,"OK")</f>
        <v>0</v>
      </c>
      <c r="D13" s="12" t="n">
        <f aca="false">COUNTIFS(テストケース!$B$2:$B$83,$A13,テストケース!$J$2:$J$83,"NG")</f>
        <v>0</v>
      </c>
      <c r="E13" s="12" t="n">
        <f aca="false">COUNTIFS(テストケース!$B$2:$B$83,$A13,テストケース!$J$2:$J$83,"保留")</f>
        <v>0</v>
      </c>
      <c r="F13" s="12" t="n">
        <f aca="false">COUNTIFS(テストケース!$B$2:$B$83,$A13,テストケース!$J$2:$J$83,"対象外")</f>
        <v>0</v>
      </c>
      <c r="G13" s="12" t="n">
        <f aca="false">B13-C13-D13-E13-F13</f>
        <v>4</v>
      </c>
      <c r="H13" s="13" t="n">
        <f aca="false">IF(B13-F13=0,"-",(C13+D13)/(B13-F13))</f>
        <v>0</v>
      </c>
      <c r="I13" s="13" t="str">
        <f aca="false">IF(C13+D13=0,"-",C13/(C13+D13))</f>
        <v>-</v>
      </c>
    </row>
    <row r="14" customFormat="false" ht="15" hidden="false" customHeight="false" outlineLevel="0" collapsed="false">
      <c r="A14" s="11" t="s">
        <v>64</v>
      </c>
      <c r="B14" s="12" t="n">
        <f aca="false">COUNTIF(テストケース!$B$2:$B$83,$A14)</f>
        <v>7</v>
      </c>
      <c r="C14" s="12" t="n">
        <f aca="false">COUNTIFS(テストケース!$B$2:$B$83,$A14,テストケース!$J$2:$J$83,"OK")</f>
        <v>0</v>
      </c>
      <c r="D14" s="12" t="n">
        <f aca="false">COUNTIFS(テストケース!$B$2:$B$83,$A14,テストケース!$J$2:$J$83,"NG")</f>
        <v>0</v>
      </c>
      <c r="E14" s="12" t="n">
        <f aca="false">COUNTIFS(テストケース!$B$2:$B$83,$A14,テストケース!$J$2:$J$83,"保留")</f>
        <v>0</v>
      </c>
      <c r="F14" s="12" t="n">
        <f aca="false">COUNTIFS(テストケース!$B$2:$B$83,$A14,テストケース!$J$2:$J$83,"対象外")</f>
        <v>0</v>
      </c>
      <c r="G14" s="12" t="n">
        <f aca="false">B14-C14-D14-E14-F14</f>
        <v>7</v>
      </c>
      <c r="H14" s="13" t="n">
        <f aca="false">IF(B14-F14=0,"-",(C14+D14)/(B14-F14))</f>
        <v>0</v>
      </c>
      <c r="I14" s="13" t="str">
        <f aca="false">IF(C14+D14=0,"-",C14/(C14+D14))</f>
        <v>-</v>
      </c>
    </row>
    <row r="15" customFormat="false" ht="15" hidden="false" customHeight="false" outlineLevel="0" collapsed="false">
      <c r="A15" s="14" t="s">
        <v>65</v>
      </c>
      <c r="B15" s="15" t="n">
        <f aca="false">SUM(B5:B14)</f>
        <v>82</v>
      </c>
      <c r="C15" s="15" t="n">
        <f aca="false">SUM(C5:C14)</f>
        <v>0</v>
      </c>
      <c r="D15" s="15" t="n">
        <f aca="false">SUM(D5:D14)</f>
        <v>0</v>
      </c>
      <c r="E15" s="15" t="n">
        <f aca="false">SUM(E5:E14)</f>
        <v>0</v>
      </c>
      <c r="F15" s="15" t="n">
        <f aca="false">SUM(F5:F14)</f>
        <v>0</v>
      </c>
      <c r="G15" s="15" t="n">
        <f aca="false">SUM(G5:G14)</f>
        <v>82</v>
      </c>
      <c r="H15" s="16" t="n">
        <f aca="false">IF(B15-F15=0,"-",(C15+D15)/(B15-F15))</f>
        <v>0</v>
      </c>
      <c r="I15" s="16" t="str">
        <f aca="false">IF(C15+D15=0,"-",C15/(C15+D15))</f>
        <v>-</v>
      </c>
    </row>
    <row r="17" customFormat="false" ht="15" hidden="false" customHeight="false" outlineLevel="0" collapsed="false">
      <c r="A17" s="17" t="s">
        <v>66</v>
      </c>
    </row>
    <row r="18" customFormat="false" ht="15" hidden="false" customHeight="false" outlineLevel="0" collapsed="false">
      <c r="A18" s="18" t="s">
        <v>67</v>
      </c>
      <c r="B18" s="18" t="s">
        <v>68</v>
      </c>
      <c r="C18" s="18" t="s">
        <v>69</v>
      </c>
      <c r="E18" s="18" t="s">
        <v>70</v>
      </c>
    </row>
    <row r="19" customFormat="false" ht="15" hidden="false" customHeight="false" outlineLevel="0" collapsed="false">
      <c r="A19" s="19" t="s">
        <v>71</v>
      </c>
      <c r="B19" s="20" t="n">
        <f aca="false">COUNTIF(テストケース!$H$2:$H$83,"高")</f>
        <v>27</v>
      </c>
      <c r="C19" s="21"/>
      <c r="D19" s="21"/>
      <c r="E19" s="22"/>
    </row>
    <row r="20" customFormat="false" ht="15" hidden="false" customHeight="false" outlineLevel="0" collapsed="false">
      <c r="A20" s="19" t="s">
        <v>72</v>
      </c>
      <c r="B20" s="20" t="n">
        <f aca="false">COUNTIFS(テストケース!$H$2:$H$83,"高",テストケース!$J$2:$J$83,"OK")</f>
        <v>0</v>
      </c>
      <c r="C20" s="21"/>
      <c r="D20" s="21"/>
      <c r="E20" s="23" t="str">
        <f aca="false">IF(B19=0,"-",IF(B20=B19,"達成","未達"))</f>
        <v>未達</v>
      </c>
    </row>
    <row r="21" customFormat="false" ht="15" hidden="false" customHeight="false" outlineLevel="0" collapsed="false">
      <c r="A21" s="19" t="s">
        <v>73</v>
      </c>
      <c r="B21" s="20" t="n">
        <f aca="false">COUNTIFS(不具合管理!$H$5:$H$54,"高",不具合管理!$I$5:$I$54,"&lt;&gt;確認済",不具合管理!$I$5:$I$54,"&lt;&gt;見送り",不具合管理!$F$5:$F$54,"&lt;&gt;")</f>
        <v>0</v>
      </c>
      <c r="C21" s="21" t="s">
        <v>74</v>
      </c>
      <c r="D21" s="21"/>
      <c r="E21" s="23" t="str">
        <f aca="false">IF(B21=0,"達成","未達")</f>
        <v>達成</v>
      </c>
    </row>
    <row r="22" customFormat="false" ht="15" hidden="false" customHeight="false" outlineLevel="0" collapsed="false">
      <c r="A22" s="19" t="s">
        <v>75</v>
      </c>
      <c r="B22" s="20" t="n">
        <f aca="false">COUNTIF(抽出精度テスト!$G$15:$G$64,"?*")</f>
        <v>0</v>
      </c>
      <c r="C22" s="21" t="s">
        <v>76</v>
      </c>
      <c r="D22" s="21"/>
      <c r="E22" s="23" t="str">
        <f aca="false">IF(B22&gt;=30,"達成","未達")</f>
        <v>未達</v>
      </c>
    </row>
    <row r="23" customFormat="false" ht="15" hidden="false" customHeight="false" outlineLevel="0" collapsed="false">
      <c r="A23" s="19" t="s">
        <v>77</v>
      </c>
      <c r="B23" s="24" t="str">
        <f aca="false">IF(COUNTIF(抽出精度テスト!$G$15:$G$64,"?*")=0,"-",COUNTIF(抽出精度テスト!$G$15:$G$64,"○")/COUNTIF(抽出精度テスト!$G$15:$G$64,"?*"))</f>
        <v>-</v>
      </c>
      <c r="C23" s="21" t="s">
        <v>78</v>
      </c>
      <c r="D23" s="21"/>
      <c r="E23" s="23" t="str">
        <f aca="false">IF(B23="-","-",IF(B23&gt;=0.8,"達成","未達"))</f>
        <v>-</v>
      </c>
    </row>
    <row r="24" customFormat="false" ht="15" hidden="false" customHeight="false" outlineLevel="0" collapsed="false">
      <c r="A24" s="19" t="s">
        <v>79</v>
      </c>
      <c r="B24" s="24" t="str">
        <f aca="false">IF(COUNTIF(抽出精度テスト!$H$15:$H$64,"○")+COUNTIF(抽出精度テスト!$H$15:$H$64,"×")=0,"-",COUNTIF(抽出精度テスト!$H$15:$H$64,"○")/(COUNTIF(抽出精度テスト!$H$15:$H$64,"○")+COUNTIF(抽出精度テスト!$H$15:$H$64,"×")))</f>
        <v>-</v>
      </c>
      <c r="C24" s="19" t="s">
        <v>80</v>
      </c>
      <c r="D24" s="19"/>
      <c r="E24" s="22"/>
    </row>
    <row r="25" customFormat="false" ht="15" hidden="false" customHeight="false" outlineLevel="0" collapsed="false">
      <c r="A25" s="19" t="s">
        <v>81</v>
      </c>
      <c r="B25" s="25" t="str">
        <f aca="false">効果測定!G26</f>
        <v/>
      </c>
      <c r="C25" s="21" t="s">
        <v>82</v>
      </c>
      <c r="D25" s="21"/>
      <c r="E25" s="23" t="str">
        <f aca="false">IF(B25="","-",IF(B25&gt;0,"達成","未達"))</f>
        <v>-</v>
      </c>
    </row>
    <row r="26" customFormat="false" ht="15" hidden="false" customHeight="false" outlineLevel="0" collapsed="false">
      <c r="A26" s="19" t="s">
        <v>83</v>
      </c>
      <c r="B26" s="25" t="str">
        <f aca="false">効果測定!I26</f>
        <v/>
      </c>
      <c r="C26" s="21" t="s">
        <v>84</v>
      </c>
      <c r="D26" s="21"/>
      <c r="E26" s="23" t="str">
        <f aca="false">IF(B26="","-",IF(B26&gt;=3.5,"達成","未達"))</f>
        <v>-</v>
      </c>
    </row>
    <row r="28" customFormat="false" ht="15" hidden="false" customHeight="false" outlineLevel="0" collapsed="false">
      <c r="A28" s="26" t="s">
        <v>85</v>
      </c>
    </row>
  </sheetData>
  <mergeCells count="8">
    <mergeCell ref="C19:D19"/>
    <mergeCell ref="C20:D20"/>
    <mergeCell ref="C21:D21"/>
    <mergeCell ref="C22:D22"/>
    <mergeCell ref="C23:D23"/>
    <mergeCell ref="C24:D24"/>
    <mergeCell ref="C25:D25"/>
    <mergeCell ref="C26:D26"/>
  </mergeCells>
  <conditionalFormatting sqref="E19:E27">
    <cfRule type="cellIs" priority="2" operator="equal" aboveAverage="0" equalAverage="0" bottom="0" percent="0" rank="0" text="" dxfId="0">
      <formula>"達成"</formula>
    </cfRule>
    <cfRule type="cellIs" priority="3" operator="equal" aboveAverage="0" equalAverage="0" bottom="0" percent="0" rank="0" text="" dxfId="1">
      <formula>"未達"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2C6"/>
    <pageSetUpPr fitToPage="true"/>
  </sheetPr>
  <dimension ref="A1:M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44"/>
    <col collapsed="false" customWidth="true" hidden="false" outlineLevel="0" max="8" min="8" style="0" width="7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24"/>
  </cols>
  <sheetData>
    <row r="1" customFormat="false" ht="15" hidden="false" customHeight="false" outlineLevel="0" collapsed="false">
      <c r="A1" s="10" t="s">
        <v>86</v>
      </c>
      <c r="B1" s="9" t="s">
        <v>47</v>
      </c>
      <c r="C1" s="9" t="s">
        <v>87</v>
      </c>
      <c r="D1" s="9" t="s">
        <v>88</v>
      </c>
      <c r="E1" s="9" t="s">
        <v>89</v>
      </c>
      <c r="F1" s="9" t="s">
        <v>90</v>
      </c>
      <c r="G1" s="9" t="s">
        <v>91</v>
      </c>
      <c r="H1" s="9" t="s">
        <v>92</v>
      </c>
      <c r="I1" s="9" t="s">
        <v>93</v>
      </c>
      <c r="J1" s="9" t="s">
        <v>94</v>
      </c>
      <c r="K1" s="9" t="s">
        <v>95</v>
      </c>
      <c r="L1" s="9" t="s">
        <v>96</v>
      </c>
      <c r="M1" s="9" t="s">
        <v>97</v>
      </c>
    </row>
    <row r="2" customFormat="false" ht="48" hidden="false" customHeight="true" outlineLevel="0" collapsed="false">
      <c r="A2" s="12" t="s">
        <v>98</v>
      </c>
      <c r="B2" s="5" t="s">
        <v>55</v>
      </c>
      <c r="C2" s="7" t="s">
        <v>99</v>
      </c>
      <c r="D2" s="7" t="s">
        <v>100</v>
      </c>
      <c r="E2" s="7" t="s">
        <v>101</v>
      </c>
      <c r="F2" s="5" t="s">
        <v>102</v>
      </c>
      <c r="G2" s="7" t="s">
        <v>103</v>
      </c>
      <c r="H2" s="27" t="s">
        <v>104</v>
      </c>
      <c r="I2" s="27" t="s">
        <v>32</v>
      </c>
      <c r="J2" s="28"/>
      <c r="K2" s="29"/>
      <c r="L2" s="28"/>
      <c r="M2" s="6"/>
    </row>
    <row r="3" customFormat="false" ht="48" hidden="false" customHeight="true" outlineLevel="0" collapsed="false">
      <c r="A3" s="12" t="s">
        <v>105</v>
      </c>
      <c r="B3" s="5" t="s">
        <v>55</v>
      </c>
      <c r="C3" s="7" t="s">
        <v>99</v>
      </c>
      <c r="D3" s="7" t="s">
        <v>106</v>
      </c>
      <c r="E3" s="7" t="s">
        <v>107</v>
      </c>
      <c r="F3" s="7" t="s">
        <v>108</v>
      </c>
      <c r="G3" s="7" t="s">
        <v>109</v>
      </c>
      <c r="H3" s="27" t="s">
        <v>110</v>
      </c>
      <c r="I3" s="27" t="s">
        <v>32</v>
      </c>
      <c r="J3" s="28"/>
      <c r="K3" s="29"/>
      <c r="L3" s="28"/>
      <c r="M3" s="6"/>
    </row>
    <row r="4" customFormat="false" ht="48" hidden="false" customHeight="true" outlineLevel="0" collapsed="false">
      <c r="A4" s="12" t="s">
        <v>111</v>
      </c>
      <c r="B4" s="5" t="s">
        <v>55</v>
      </c>
      <c r="C4" s="7" t="s">
        <v>112</v>
      </c>
      <c r="D4" s="7" t="s">
        <v>113</v>
      </c>
      <c r="E4" s="7" t="s">
        <v>114</v>
      </c>
      <c r="F4" s="7" t="s">
        <v>115</v>
      </c>
      <c r="G4" s="7" t="s">
        <v>116</v>
      </c>
      <c r="H4" s="27" t="s">
        <v>104</v>
      </c>
      <c r="I4" s="27" t="s">
        <v>32</v>
      </c>
      <c r="J4" s="28"/>
      <c r="K4" s="29"/>
      <c r="L4" s="28"/>
      <c r="M4" s="6"/>
    </row>
    <row r="5" customFormat="false" ht="48" hidden="false" customHeight="true" outlineLevel="0" collapsed="false">
      <c r="A5" s="12" t="s">
        <v>117</v>
      </c>
      <c r="B5" s="5" t="s">
        <v>55</v>
      </c>
      <c r="C5" s="7" t="s">
        <v>112</v>
      </c>
      <c r="D5" s="7" t="s">
        <v>118</v>
      </c>
      <c r="E5" s="7" t="s">
        <v>119</v>
      </c>
      <c r="F5" s="7" t="s">
        <v>120</v>
      </c>
      <c r="G5" s="7" t="s">
        <v>121</v>
      </c>
      <c r="H5" s="27" t="s">
        <v>122</v>
      </c>
      <c r="I5" s="27" t="s">
        <v>32</v>
      </c>
      <c r="J5" s="28"/>
      <c r="K5" s="29"/>
      <c r="L5" s="28"/>
      <c r="M5" s="6"/>
    </row>
    <row r="6" customFormat="false" ht="48" hidden="false" customHeight="true" outlineLevel="0" collapsed="false">
      <c r="A6" s="12" t="s">
        <v>123</v>
      </c>
      <c r="B6" s="5" t="s">
        <v>55</v>
      </c>
      <c r="C6" s="7" t="s">
        <v>112</v>
      </c>
      <c r="D6" s="7" t="s">
        <v>124</v>
      </c>
      <c r="E6" s="7" t="s">
        <v>125</v>
      </c>
      <c r="F6" s="7" t="s">
        <v>126</v>
      </c>
      <c r="G6" s="7" t="s">
        <v>127</v>
      </c>
      <c r="H6" s="27" t="s">
        <v>110</v>
      </c>
      <c r="I6" s="27" t="s">
        <v>32</v>
      </c>
      <c r="J6" s="28"/>
      <c r="K6" s="29"/>
      <c r="L6" s="28"/>
      <c r="M6" s="6"/>
    </row>
    <row r="7" customFormat="false" ht="48" hidden="false" customHeight="true" outlineLevel="0" collapsed="false">
      <c r="A7" s="12" t="s">
        <v>128</v>
      </c>
      <c r="B7" s="5" t="s">
        <v>55</v>
      </c>
      <c r="C7" s="7" t="s">
        <v>112</v>
      </c>
      <c r="D7" s="7" t="s">
        <v>129</v>
      </c>
      <c r="E7" s="7" t="s">
        <v>130</v>
      </c>
      <c r="F7" s="7" t="s">
        <v>131</v>
      </c>
      <c r="G7" s="7" t="s">
        <v>132</v>
      </c>
      <c r="H7" s="27" t="s">
        <v>122</v>
      </c>
      <c r="I7" s="27" t="s">
        <v>32</v>
      </c>
      <c r="J7" s="28"/>
      <c r="K7" s="29"/>
      <c r="L7" s="28"/>
      <c r="M7" s="6"/>
    </row>
    <row r="8" customFormat="false" ht="48" hidden="false" customHeight="true" outlineLevel="0" collapsed="false">
      <c r="A8" s="12" t="s">
        <v>133</v>
      </c>
      <c r="B8" s="5" t="s">
        <v>55</v>
      </c>
      <c r="C8" s="7" t="s">
        <v>112</v>
      </c>
      <c r="D8" s="7" t="s">
        <v>134</v>
      </c>
      <c r="E8" s="7" t="s">
        <v>135</v>
      </c>
      <c r="F8" s="7" t="s">
        <v>136</v>
      </c>
      <c r="G8" s="7" t="s">
        <v>137</v>
      </c>
      <c r="H8" s="27" t="s">
        <v>122</v>
      </c>
      <c r="I8" s="27" t="s">
        <v>32</v>
      </c>
      <c r="J8" s="28"/>
      <c r="K8" s="29"/>
      <c r="L8" s="28"/>
      <c r="M8" s="6"/>
    </row>
    <row r="9" customFormat="false" ht="48" hidden="false" customHeight="true" outlineLevel="0" collapsed="false">
      <c r="A9" s="12" t="s">
        <v>138</v>
      </c>
      <c r="B9" s="5" t="s">
        <v>56</v>
      </c>
      <c r="C9" s="7" t="s">
        <v>139</v>
      </c>
      <c r="D9" s="7" t="s">
        <v>140</v>
      </c>
      <c r="E9" s="7" t="s">
        <v>141</v>
      </c>
      <c r="F9" s="7" t="s">
        <v>126</v>
      </c>
      <c r="G9" s="5" t="s">
        <v>142</v>
      </c>
      <c r="H9" s="27" t="s">
        <v>104</v>
      </c>
      <c r="I9" s="27" t="s">
        <v>32</v>
      </c>
      <c r="J9" s="28"/>
      <c r="K9" s="29"/>
      <c r="L9" s="28"/>
      <c r="M9" s="6"/>
    </row>
    <row r="10" customFormat="false" ht="48" hidden="false" customHeight="true" outlineLevel="0" collapsed="false">
      <c r="A10" s="12" t="s">
        <v>143</v>
      </c>
      <c r="B10" s="5" t="s">
        <v>56</v>
      </c>
      <c r="C10" s="7" t="s">
        <v>139</v>
      </c>
      <c r="D10" s="7" t="s">
        <v>144</v>
      </c>
      <c r="E10" s="7" t="s">
        <v>145</v>
      </c>
      <c r="F10" s="7" t="s">
        <v>126</v>
      </c>
      <c r="G10" s="5" t="s">
        <v>146</v>
      </c>
      <c r="H10" s="27" t="s">
        <v>104</v>
      </c>
      <c r="I10" s="27" t="s">
        <v>32</v>
      </c>
      <c r="J10" s="28"/>
      <c r="K10" s="29"/>
      <c r="L10" s="28"/>
      <c r="M10" s="6"/>
    </row>
    <row r="11" customFormat="false" ht="48" hidden="false" customHeight="true" outlineLevel="0" collapsed="false">
      <c r="A11" s="12" t="s">
        <v>147</v>
      </c>
      <c r="B11" s="5" t="s">
        <v>56</v>
      </c>
      <c r="C11" s="7" t="s">
        <v>139</v>
      </c>
      <c r="D11" s="7" t="s">
        <v>148</v>
      </c>
      <c r="E11" s="7" t="s">
        <v>149</v>
      </c>
      <c r="F11" s="7" t="s">
        <v>126</v>
      </c>
      <c r="G11" s="5" t="s">
        <v>150</v>
      </c>
      <c r="H11" s="27" t="s">
        <v>110</v>
      </c>
      <c r="I11" s="27" t="s">
        <v>32</v>
      </c>
      <c r="J11" s="28"/>
      <c r="K11" s="29"/>
      <c r="L11" s="28"/>
      <c r="M11" s="6"/>
    </row>
    <row r="12" customFormat="false" ht="48" hidden="false" customHeight="true" outlineLevel="0" collapsed="false">
      <c r="A12" s="12" t="s">
        <v>151</v>
      </c>
      <c r="B12" s="5" t="s">
        <v>56</v>
      </c>
      <c r="C12" s="7" t="s">
        <v>139</v>
      </c>
      <c r="D12" s="5" t="s">
        <v>152</v>
      </c>
      <c r="E12" s="7" t="s">
        <v>153</v>
      </c>
      <c r="F12" s="7" t="s">
        <v>126</v>
      </c>
      <c r="G12" s="7" t="s">
        <v>154</v>
      </c>
      <c r="H12" s="27" t="s">
        <v>110</v>
      </c>
      <c r="I12" s="27" t="s">
        <v>32</v>
      </c>
      <c r="J12" s="28"/>
      <c r="K12" s="29"/>
      <c r="L12" s="28"/>
      <c r="M12" s="6"/>
    </row>
    <row r="13" customFormat="false" ht="48" hidden="false" customHeight="true" outlineLevel="0" collapsed="false">
      <c r="A13" s="12" t="s">
        <v>155</v>
      </c>
      <c r="B13" s="5" t="s">
        <v>56</v>
      </c>
      <c r="C13" s="7" t="s">
        <v>139</v>
      </c>
      <c r="D13" s="7" t="s">
        <v>156</v>
      </c>
      <c r="E13" s="7" t="s">
        <v>157</v>
      </c>
      <c r="F13" s="7" t="s">
        <v>126</v>
      </c>
      <c r="G13" s="7" t="s">
        <v>158</v>
      </c>
      <c r="H13" s="27" t="s">
        <v>122</v>
      </c>
      <c r="I13" s="27" t="s">
        <v>32</v>
      </c>
      <c r="J13" s="28"/>
      <c r="K13" s="29"/>
      <c r="L13" s="28"/>
      <c r="M13" s="6"/>
    </row>
    <row r="14" customFormat="false" ht="48" hidden="false" customHeight="true" outlineLevel="0" collapsed="false">
      <c r="A14" s="12" t="s">
        <v>159</v>
      </c>
      <c r="B14" s="5" t="s">
        <v>56</v>
      </c>
      <c r="C14" s="7" t="s">
        <v>139</v>
      </c>
      <c r="D14" s="7" t="s">
        <v>160</v>
      </c>
      <c r="E14" s="7" t="s">
        <v>161</v>
      </c>
      <c r="F14" s="7" t="s">
        <v>126</v>
      </c>
      <c r="G14" s="5" t="s">
        <v>162</v>
      </c>
      <c r="H14" s="27" t="s">
        <v>110</v>
      </c>
      <c r="I14" s="27" t="s">
        <v>32</v>
      </c>
      <c r="J14" s="28"/>
      <c r="K14" s="29"/>
      <c r="L14" s="28"/>
      <c r="M14" s="6"/>
    </row>
    <row r="15" customFormat="false" ht="48" hidden="false" customHeight="true" outlineLevel="0" collapsed="false">
      <c r="A15" s="12" t="s">
        <v>163</v>
      </c>
      <c r="B15" s="5" t="s">
        <v>56</v>
      </c>
      <c r="C15" s="7" t="s">
        <v>139</v>
      </c>
      <c r="D15" s="7" t="s">
        <v>164</v>
      </c>
      <c r="E15" s="5" t="s">
        <v>165</v>
      </c>
      <c r="F15" s="7" t="s">
        <v>126</v>
      </c>
      <c r="G15" s="7" t="s">
        <v>166</v>
      </c>
      <c r="H15" s="27" t="s">
        <v>122</v>
      </c>
      <c r="I15" s="27" t="s">
        <v>32</v>
      </c>
      <c r="J15" s="28"/>
      <c r="K15" s="29"/>
      <c r="L15" s="28"/>
      <c r="M15" s="6"/>
    </row>
    <row r="16" customFormat="false" ht="48" hidden="false" customHeight="true" outlineLevel="0" collapsed="false">
      <c r="A16" s="12" t="s">
        <v>167</v>
      </c>
      <c r="B16" s="5" t="s">
        <v>56</v>
      </c>
      <c r="C16" s="7" t="s">
        <v>168</v>
      </c>
      <c r="D16" s="7" t="s">
        <v>169</v>
      </c>
      <c r="E16" s="7" t="s">
        <v>170</v>
      </c>
      <c r="F16" s="7" t="s">
        <v>126</v>
      </c>
      <c r="G16" s="7" t="s">
        <v>171</v>
      </c>
      <c r="H16" s="27" t="s">
        <v>104</v>
      </c>
      <c r="I16" s="27" t="s">
        <v>32</v>
      </c>
      <c r="J16" s="28"/>
      <c r="K16" s="29"/>
      <c r="L16" s="28"/>
      <c r="M16" s="6"/>
    </row>
    <row r="17" customFormat="false" ht="48" hidden="false" customHeight="true" outlineLevel="0" collapsed="false">
      <c r="A17" s="12" t="s">
        <v>172</v>
      </c>
      <c r="B17" s="5" t="s">
        <v>56</v>
      </c>
      <c r="C17" s="7" t="s">
        <v>173</v>
      </c>
      <c r="D17" s="7" t="s">
        <v>174</v>
      </c>
      <c r="E17" s="7" t="s">
        <v>175</v>
      </c>
      <c r="F17" s="7" t="s">
        <v>126</v>
      </c>
      <c r="G17" s="7" t="s">
        <v>176</v>
      </c>
      <c r="H17" s="27" t="s">
        <v>110</v>
      </c>
      <c r="I17" s="27" t="s">
        <v>32</v>
      </c>
      <c r="J17" s="28"/>
      <c r="K17" s="29"/>
      <c r="L17" s="28"/>
      <c r="M17" s="6"/>
    </row>
    <row r="18" customFormat="false" ht="48" hidden="false" customHeight="true" outlineLevel="0" collapsed="false">
      <c r="A18" s="12" t="s">
        <v>177</v>
      </c>
      <c r="B18" s="5" t="s">
        <v>56</v>
      </c>
      <c r="C18" s="7" t="s">
        <v>178</v>
      </c>
      <c r="D18" s="7" t="s">
        <v>179</v>
      </c>
      <c r="E18" s="7" t="s">
        <v>114</v>
      </c>
      <c r="F18" s="7" t="s">
        <v>180</v>
      </c>
      <c r="G18" s="7" t="s">
        <v>181</v>
      </c>
      <c r="H18" s="27" t="s">
        <v>104</v>
      </c>
      <c r="I18" s="27" t="s">
        <v>32</v>
      </c>
      <c r="J18" s="28"/>
      <c r="K18" s="29"/>
      <c r="L18" s="28"/>
      <c r="M18" s="6"/>
    </row>
    <row r="19" customFormat="false" ht="48" hidden="false" customHeight="true" outlineLevel="0" collapsed="false">
      <c r="A19" s="12" t="s">
        <v>182</v>
      </c>
      <c r="B19" s="5" t="s">
        <v>56</v>
      </c>
      <c r="C19" s="7" t="s">
        <v>178</v>
      </c>
      <c r="D19" s="7" t="s">
        <v>183</v>
      </c>
      <c r="E19" s="7" t="s">
        <v>114</v>
      </c>
      <c r="F19" s="7" t="s">
        <v>184</v>
      </c>
      <c r="G19" s="7" t="s">
        <v>185</v>
      </c>
      <c r="H19" s="27" t="s">
        <v>110</v>
      </c>
      <c r="I19" s="27" t="s">
        <v>186</v>
      </c>
      <c r="J19" s="28"/>
      <c r="K19" s="29"/>
      <c r="L19" s="28"/>
      <c r="M19" s="6"/>
    </row>
    <row r="20" customFormat="false" ht="48" hidden="false" customHeight="true" outlineLevel="0" collapsed="false">
      <c r="A20" s="12" t="s">
        <v>187</v>
      </c>
      <c r="B20" s="5" t="s">
        <v>56</v>
      </c>
      <c r="C20" s="7" t="s">
        <v>188</v>
      </c>
      <c r="D20" s="7" t="s">
        <v>189</v>
      </c>
      <c r="E20" s="7" t="s">
        <v>190</v>
      </c>
      <c r="F20" s="7" t="s">
        <v>126</v>
      </c>
      <c r="G20" s="7" t="s">
        <v>191</v>
      </c>
      <c r="H20" s="27" t="s">
        <v>122</v>
      </c>
      <c r="I20" s="27" t="s">
        <v>32</v>
      </c>
      <c r="J20" s="28"/>
      <c r="K20" s="29"/>
      <c r="L20" s="28"/>
      <c r="M20" s="6"/>
    </row>
    <row r="21" customFormat="false" ht="48" hidden="false" customHeight="true" outlineLevel="0" collapsed="false">
      <c r="A21" s="12" t="s">
        <v>192</v>
      </c>
      <c r="B21" s="5" t="s">
        <v>57</v>
      </c>
      <c r="C21" s="7" t="s">
        <v>193</v>
      </c>
      <c r="D21" s="7" t="s">
        <v>194</v>
      </c>
      <c r="E21" s="7" t="s">
        <v>195</v>
      </c>
      <c r="F21" s="7" t="s">
        <v>196</v>
      </c>
      <c r="G21" s="7" t="s">
        <v>197</v>
      </c>
      <c r="H21" s="27" t="s">
        <v>110</v>
      </c>
      <c r="I21" s="27" t="s">
        <v>32</v>
      </c>
      <c r="J21" s="28"/>
      <c r="K21" s="29"/>
      <c r="L21" s="28"/>
      <c r="M21" s="6"/>
    </row>
    <row r="22" customFormat="false" ht="48" hidden="false" customHeight="true" outlineLevel="0" collapsed="false">
      <c r="A22" s="12" t="s">
        <v>198</v>
      </c>
      <c r="B22" s="5" t="s">
        <v>57</v>
      </c>
      <c r="C22" s="7" t="s">
        <v>193</v>
      </c>
      <c r="D22" s="7" t="s">
        <v>199</v>
      </c>
      <c r="E22" s="7" t="s">
        <v>200</v>
      </c>
      <c r="F22" s="7" t="s">
        <v>126</v>
      </c>
      <c r="G22" s="7" t="s">
        <v>201</v>
      </c>
      <c r="H22" s="27" t="s">
        <v>122</v>
      </c>
      <c r="I22" s="27" t="s">
        <v>32</v>
      </c>
      <c r="J22" s="28"/>
      <c r="K22" s="29"/>
      <c r="L22" s="28"/>
      <c r="M22" s="6"/>
    </row>
    <row r="23" customFormat="false" ht="48" hidden="false" customHeight="true" outlineLevel="0" collapsed="false">
      <c r="A23" s="12" t="s">
        <v>202</v>
      </c>
      <c r="B23" s="5" t="s">
        <v>57</v>
      </c>
      <c r="C23" s="7" t="s">
        <v>193</v>
      </c>
      <c r="D23" s="7" t="s">
        <v>203</v>
      </c>
      <c r="E23" s="7" t="s">
        <v>204</v>
      </c>
      <c r="F23" s="7" t="s">
        <v>126</v>
      </c>
      <c r="G23" s="7" t="s">
        <v>205</v>
      </c>
      <c r="H23" s="27" t="s">
        <v>110</v>
      </c>
      <c r="I23" s="27" t="s">
        <v>32</v>
      </c>
      <c r="J23" s="28"/>
      <c r="K23" s="29"/>
      <c r="L23" s="28"/>
      <c r="M23" s="6"/>
    </row>
    <row r="24" customFormat="false" ht="48" hidden="false" customHeight="true" outlineLevel="0" collapsed="false">
      <c r="A24" s="12" t="s">
        <v>206</v>
      </c>
      <c r="B24" s="5" t="s">
        <v>57</v>
      </c>
      <c r="C24" s="7" t="s">
        <v>193</v>
      </c>
      <c r="D24" s="7" t="s">
        <v>207</v>
      </c>
      <c r="E24" s="7" t="s">
        <v>208</v>
      </c>
      <c r="F24" s="7" t="s">
        <v>209</v>
      </c>
      <c r="G24" s="5" t="s">
        <v>210</v>
      </c>
      <c r="H24" s="27" t="s">
        <v>122</v>
      </c>
      <c r="I24" s="27" t="s">
        <v>32</v>
      </c>
      <c r="J24" s="28"/>
      <c r="K24" s="29"/>
      <c r="L24" s="28"/>
      <c r="M24" s="6"/>
    </row>
    <row r="25" customFormat="false" ht="48" hidden="false" customHeight="true" outlineLevel="0" collapsed="false">
      <c r="A25" s="12" t="s">
        <v>211</v>
      </c>
      <c r="B25" s="5" t="s">
        <v>57</v>
      </c>
      <c r="C25" s="7" t="s">
        <v>212</v>
      </c>
      <c r="D25" s="7" t="s">
        <v>213</v>
      </c>
      <c r="E25" s="7" t="s">
        <v>114</v>
      </c>
      <c r="F25" s="7" t="s">
        <v>214</v>
      </c>
      <c r="G25" s="7" t="s">
        <v>215</v>
      </c>
      <c r="H25" s="27" t="s">
        <v>104</v>
      </c>
      <c r="I25" s="27" t="s">
        <v>32</v>
      </c>
      <c r="J25" s="28"/>
      <c r="K25" s="29"/>
      <c r="L25" s="28"/>
      <c r="M25" s="6"/>
    </row>
    <row r="26" customFormat="false" ht="48" hidden="false" customHeight="true" outlineLevel="0" collapsed="false">
      <c r="A26" s="12" t="s">
        <v>216</v>
      </c>
      <c r="B26" s="5" t="s">
        <v>58</v>
      </c>
      <c r="C26" s="7" t="s">
        <v>217</v>
      </c>
      <c r="D26" s="7" t="s">
        <v>218</v>
      </c>
      <c r="E26" s="7" t="s">
        <v>219</v>
      </c>
      <c r="F26" s="7" t="s">
        <v>220</v>
      </c>
      <c r="G26" s="7" t="s">
        <v>221</v>
      </c>
      <c r="H26" s="27" t="s">
        <v>104</v>
      </c>
      <c r="I26" s="27" t="s">
        <v>32</v>
      </c>
      <c r="J26" s="28"/>
      <c r="K26" s="29"/>
      <c r="L26" s="28"/>
      <c r="M26" s="6"/>
    </row>
    <row r="27" customFormat="false" ht="48" hidden="false" customHeight="true" outlineLevel="0" collapsed="false">
      <c r="A27" s="12" t="s">
        <v>222</v>
      </c>
      <c r="B27" s="5" t="s">
        <v>58</v>
      </c>
      <c r="C27" s="7" t="s">
        <v>217</v>
      </c>
      <c r="D27" s="7" t="s">
        <v>223</v>
      </c>
      <c r="E27" s="7" t="s">
        <v>114</v>
      </c>
      <c r="F27" s="7" t="s">
        <v>224</v>
      </c>
      <c r="G27" s="5" t="s">
        <v>225</v>
      </c>
      <c r="H27" s="27" t="s">
        <v>110</v>
      </c>
      <c r="I27" s="27" t="s">
        <v>32</v>
      </c>
      <c r="J27" s="28"/>
      <c r="K27" s="29"/>
      <c r="L27" s="28"/>
      <c r="M27" s="6"/>
    </row>
    <row r="28" customFormat="false" ht="48" hidden="false" customHeight="true" outlineLevel="0" collapsed="false">
      <c r="A28" s="12" t="s">
        <v>226</v>
      </c>
      <c r="B28" s="5" t="s">
        <v>58</v>
      </c>
      <c r="C28" s="7" t="s">
        <v>227</v>
      </c>
      <c r="D28" s="7" t="s">
        <v>228</v>
      </c>
      <c r="E28" s="7" t="s">
        <v>114</v>
      </c>
      <c r="F28" s="7" t="s">
        <v>229</v>
      </c>
      <c r="G28" s="7" t="s">
        <v>230</v>
      </c>
      <c r="H28" s="27" t="s">
        <v>110</v>
      </c>
      <c r="I28" s="27" t="s">
        <v>32</v>
      </c>
      <c r="J28" s="28"/>
      <c r="K28" s="29"/>
      <c r="L28" s="28"/>
      <c r="M28" s="6"/>
    </row>
    <row r="29" customFormat="false" ht="48" hidden="false" customHeight="true" outlineLevel="0" collapsed="false">
      <c r="A29" s="12" t="s">
        <v>231</v>
      </c>
      <c r="B29" s="5" t="s">
        <v>58</v>
      </c>
      <c r="C29" s="7" t="s">
        <v>227</v>
      </c>
      <c r="D29" s="7" t="s">
        <v>232</v>
      </c>
      <c r="E29" s="7" t="s">
        <v>114</v>
      </c>
      <c r="F29" s="7" t="s">
        <v>233</v>
      </c>
      <c r="G29" s="7" t="s">
        <v>234</v>
      </c>
      <c r="H29" s="27" t="s">
        <v>122</v>
      </c>
      <c r="I29" s="27" t="s">
        <v>186</v>
      </c>
      <c r="J29" s="28"/>
      <c r="K29" s="29"/>
      <c r="L29" s="28"/>
      <c r="M29" s="6"/>
    </row>
    <row r="30" customFormat="false" ht="48" hidden="false" customHeight="true" outlineLevel="0" collapsed="false">
      <c r="A30" s="12" t="s">
        <v>235</v>
      </c>
      <c r="B30" s="5" t="s">
        <v>59</v>
      </c>
      <c r="C30" s="7" t="s">
        <v>70</v>
      </c>
      <c r="D30" s="7" t="s">
        <v>236</v>
      </c>
      <c r="E30" s="7" t="s">
        <v>237</v>
      </c>
      <c r="F30" s="7" t="s">
        <v>238</v>
      </c>
      <c r="G30" s="7" t="s">
        <v>239</v>
      </c>
      <c r="H30" s="27" t="s">
        <v>104</v>
      </c>
      <c r="I30" s="27" t="s">
        <v>32</v>
      </c>
      <c r="J30" s="28"/>
      <c r="K30" s="29"/>
      <c r="L30" s="28"/>
      <c r="M30" s="6"/>
    </row>
    <row r="31" customFormat="false" ht="48" hidden="false" customHeight="true" outlineLevel="0" collapsed="false">
      <c r="A31" s="12" t="s">
        <v>240</v>
      </c>
      <c r="B31" s="5" t="s">
        <v>59</v>
      </c>
      <c r="C31" s="7" t="s">
        <v>70</v>
      </c>
      <c r="D31" s="7" t="s">
        <v>241</v>
      </c>
      <c r="E31" s="7" t="s">
        <v>242</v>
      </c>
      <c r="F31" s="7" t="s">
        <v>238</v>
      </c>
      <c r="G31" s="7" t="s">
        <v>243</v>
      </c>
      <c r="H31" s="27" t="s">
        <v>104</v>
      </c>
      <c r="I31" s="27" t="s">
        <v>32</v>
      </c>
      <c r="J31" s="28"/>
      <c r="K31" s="29"/>
      <c r="L31" s="28"/>
      <c r="M31" s="6"/>
    </row>
    <row r="32" customFormat="false" ht="48" hidden="false" customHeight="true" outlineLevel="0" collapsed="false">
      <c r="A32" s="12" t="s">
        <v>244</v>
      </c>
      <c r="B32" s="5" t="s">
        <v>59</v>
      </c>
      <c r="C32" s="7" t="s">
        <v>70</v>
      </c>
      <c r="D32" s="7" t="s">
        <v>245</v>
      </c>
      <c r="E32" s="7" t="s">
        <v>246</v>
      </c>
      <c r="F32" s="7" t="s">
        <v>238</v>
      </c>
      <c r="G32" s="7" t="s">
        <v>247</v>
      </c>
      <c r="H32" s="27" t="s">
        <v>110</v>
      </c>
      <c r="I32" s="27" t="s">
        <v>32</v>
      </c>
      <c r="J32" s="28"/>
      <c r="K32" s="29"/>
      <c r="L32" s="28"/>
      <c r="M32" s="6"/>
    </row>
    <row r="33" customFormat="false" ht="48" hidden="false" customHeight="true" outlineLevel="0" collapsed="false">
      <c r="A33" s="12" t="s">
        <v>248</v>
      </c>
      <c r="B33" s="5" t="s">
        <v>59</v>
      </c>
      <c r="C33" s="7" t="s">
        <v>70</v>
      </c>
      <c r="D33" s="7" t="s">
        <v>249</v>
      </c>
      <c r="E33" s="7" t="s">
        <v>250</v>
      </c>
      <c r="F33" s="7" t="s">
        <v>238</v>
      </c>
      <c r="G33" s="7" t="s">
        <v>251</v>
      </c>
      <c r="H33" s="27" t="s">
        <v>110</v>
      </c>
      <c r="I33" s="27" t="s">
        <v>32</v>
      </c>
      <c r="J33" s="28"/>
      <c r="K33" s="29"/>
      <c r="L33" s="28"/>
      <c r="M33" s="6"/>
    </row>
    <row r="34" customFormat="false" ht="48" hidden="false" customHeight="true" outlineLevel="0" collapsed="false">
      <c r="A34" s="12" t="s">
        <v>252</v>
      </c>
      <c r="B34" s="5" t="s">
        <v>59</v>
      </c>
      <c r="C34" s="7" t="s">
        <v>70</v>
      </c>
      <c r="D34" s="7" t="s">
        <v>253</v>
      </c>
      <c r="E34" s="7" t="s">
        <v>254</v>
      </c>
      <c r="F34" s="7" t="s">
        <v>238</v>
      </c>
      <c r="G34" s="7" t="s">
        <v>255</v>
      </c>
      <c r="H34" s="27" t="s">
        <v>104</v>
      </c>
      <c r="I34" s="27" t="s">
        <v>256</v>
      </c>
      <c r="J34" s="28"/>
      <c r="K34" s="29"/>
      <c r="L34" s="28"/>
      <c r="M34" s="6"/>
    </row>
    <row r="35" customFormat="false" ht="48" hidden="false" customHeight="true" outlineLevel="0" collapsed="false">
      <c r="A35" s="12" t="s">
        <v>257</v>
      </c>
      <c r="B35" s="5" t="s">
        <v>59</v>
      </c>
      <c r="C35" s="7" t="s">
        <v>258</v>
      </c>
      <c r="D35" s="7" t="s">
        <v>259</v>
      </c>
      <c r="E35" s="7" t="s">
        <v>114</v>
      </c>
      <c r="F35" s="7" t="s">
        <v>260</v>
      </c>
      <c r="G35" s="7" t="s">
        <v>261</v>
      </c>
      <c r="H35" s="27" t="s">
        <v>110</v>
      </c>
      <c r="I35" s="27" t="s">
        <v>186</v>
      </c>
      <c r="J35" s="28"/>
      <c r="K35" s="29"/>
      <c r="L35" s="28"/>
      <c r="M35" s="6"/>
    </row>
    <row r="36" customFormat="false" ht="48" hidden="false" customHeight="true" outlineLevel="0" collapsed="false">
      <c r="A36" s="12" t="s">
        <v>262</v>
      </c>
      <c r="B36" s="5" t="s">
        <v>59</v>
      </c>
      <c r="C36" s="7" t="s">
        <v>258</v>
      </c>
      <c r="D36" s="7" t="s">
        <v>263</v>
      </c>
      <c r="E36" s="7" t="s">
        <v>114</v>
      </c>
      <c r="F36" s="7" t="s">
        <v>264</v>
      </c>
      <c r="G36" s="7" t="s">
        <v>265</v>
      </c>
      <c r="H36" s="27" t="s">
        <v>122</v>
      </c>
      <c r="I36" s="27" t="s">
        <v>32</v>
      </c>
      <c r="J36" s="28"/>
      <c r="K36" s="29"/>
      <c r="L36" s="28"/>
      <c r="M36" s="6"/>
    </row>
    <row r="37" customFormat="false" ht="48" hidden="false" customHeight="true" outlineLevel="0" collapsed="false">
      <c r="A37" s="12" t="s">
        <v>266</v>
      </c>
      <c r="B37" s="5" t="s">
        <v>60</v>
      </c>
      <c r="C37" s="7" t="s">
        <v>267</v>
      </c>
      <c r="D37" s="7" t="s">
        <v>268</v>
      </c>
      <c r="E37" s="7" t="s">
        <v>269</v>
      </c>
      <c r="F37" s="7" t="s">
        <v>270</v>
      </c>
      <c r="G37" s="7" t="s">
        <v>271</v>
      </c>
      <c r="H37" s="27" t="s">
        <v>104</v>
      </c>
      <c r="I37" s="27" t="s">
        <v>32</v>
      </c>
      <c r="J37" s="28"/>
      <c r="K37" s="29"/>
      <c r="L37" s="28"/>
      <c r="M37" s="6"/>
    </row>
    <row r="38" customFormat="false" ht="48" hidden="false" customHeight="true" outlineLevel="0" collapsed="false">
      <c r="A38" s="12" t="s">
        <v>272</v>
      </c>
      <c r="B38" s="5" t="s">
        <v>60</v>
      </c>
      <c r="C38" s="7" t="s">
        <v>267</v>
      </c>
      <c r="D38" s="7" t="s">
        <v>273</v>
      </c>
      <c r="E38" s="7" t="s">
        <v>274</v>
      </c>
      <c r="F38" s="7" t="s">
        <v>275</v>
      </c>
      <c r="G38" s="7" t="s">
        <v>276</v>
      </c>
      <c r="H38" s="27" t="s">
        <v>110</v>
      </c>
      <c r="I38" s="27" t="s">
        <v>32</v>
      </c>
      <c r="J38" s="28"/>
      <c r="K38" s="29"/>
      <c r="L38" s="28"/>
      <c r="M38" s="6"/>
    </row>
    <row r="39" customFormat="false" ht="48" hidden="false" customHeight="true" outlineLevel="0" collapsed="false">
      <c r="A39" s="12" t="s">
        <v>277</v>
      </c>
      <c r="B39" s="5" t="s">
        <v>60</v>
      </c>
      <c r="C39" s="7" t="s">
        <v>267</v>
      </c>
      <c r="D39" s="7" t="s">
        <v>278</v>
      </c>
      <c r="E39" s="7" t="s">
        <v>279</v>
      </c>
      <c r="F39" s="7" t="s">
        <v>275</v>
      </c>
      <c r="G39" s="5" t="s">
        <v>280</v>
      </c>
      <c r="H39" s="27" t="s">
        <v>122</v>
      </c>
      <c r="I39" s="27" t="s">
        <v>32</v>
      </c>
      <c r="J39" s="28"/>
      <c r="K39" s="29"/>
      <c r="L39" s="28"/>
      <c r="M39" s="6"/>
    </row>
    <row r="40" customFormat="false" ht="48" hidden="false" customHeight="true" outlineLevel="0" collapsed="false">
      <c r="A40" s="12" t="s">
        <v>281</v>
      </c>
      <c r="B40" s="5" t="s">
        <v>60</v>
      </c>
      <c r="C40" s="7" t="s">
        <v>267</v>
      </c>
      <c r="D40" s="7" t="s">
        <v>282</v>
      </c>
      <c r="E40" s="7" t="s">
        <v>283</v>
      </c>
      <c r="F40" s="7" t="s">
        <v>275</v>
      </c>
      <c r="G40" s="7" t="s">
        <v>284</v>
      </c>
      <c r="H40" s="27" t="s">
        <v>104</v>
      </c>
      <c r="I40" s="27" t="s">
        <v>32</v>
      </c>
      <c r="J40" s="28"/>
      <c r="K40" s="29"/>
      <c r="L40" s="28"/>
      <c r="M40" s="6"/>
    </row>
    <row r="41" customFormat="false" ht="48" hidden="false" customHeight="true" outlineLevel="0" collapsed="false">
      <c r="A41" s="12" t="s">
        <v>285</v>
      </c>
      <c r="B41" s="5" t="s">
        <v>60</v>
      </c>
      <c r="C41" s="7" t="s">
        <v>286</v>
      </c>
      <c r="D41" s="7" t="s">
        <v>287</v>
      </c>
      <c r="E41" s="7" t="s">
        <v>288</v>
      </c>
      <c r="F41" s="7" t="s">
        <v>289</v>
      </c>
      <c r="G41" s="7" t="s">
        <v>290</v>
      </c>
      <c r="H41" s="27" t="s">
        <v>110</v>
      </c>
      <c r="I41" s="27" t="s">
        <v>186</v>
      </c>
      <c r="J41" s="28"/>
      <c r="K41" s="29"/>
      <c r="L41" s="28"/>
      <c r="M41" s="6"/>
    </row>
    <row r="42" customFormat="false" ht="48" hidden="false" customHeight="true" outlineLevel="0" collapsed="false">
      <c r="A42" s="12" t="s">
        <v>291</v>
      </c>
      <c r="B42" s="5" t="s">
        <v>60</v>
      </c>
      <c r="C42" s="7" t="s">
        <v>286</v>
      </c>
      <c r="D42" s="7" t="s">
        <v>292</v>
      </c>
      <c r="E42" s="7" t="s">
        <v>293</v>
      </c>
      <c r="F42" s="7" t="s">
        <v>275</v>
      </c>
      <c r="G42" s="7" t="s">
        <v>294</v>
      </c>
      <c r="H42" s="27" t="s">
        <v>122</v>
      </c>
      <c r="I42" s="27" t="s">
        <v>186</v>
      </c>
      <c r="J42" s="28"/>
      <c r="K42" s="29"/>
      <c r="L42" s="28"/>
      <c r="M42" s="6"/>
    </row>
    <row r="43" customFormat="false" ht="48" hidden="false" customHeight="true" outlineLevel="0" collapsed="false">
      <c r="A43" s="12" t="s">
        <v>295</v>
      </c>
      <c r="B43" s="5" t="s">
        <v>60</v>
      </c>
      <c r="C43" s="7" t="s">
        <v>286</v>
      </c>
      <c r="D43" s="7" t="s">
        <v>296</v>
      </c>
      <c r="E43" s="7" t="s">
        <v>297</v>
      </c>
      <c r="F43" s="7" t="s">
        <v>275</v>
      </c>
      <c r="G43" s="7" t="s">
        <v>298</v>
      </c>
      <c r="H43" s="27" t="s">
        <v>122</v>
      </c>
      <c r="I43" s="27" t="s">
        <v>186</v>
      </c>
      <c r="J43" s="28"/>
      <c r="K43" s="29"/>
      <c r="L43" s="28"/>
      <c r="M43" s="6"/>
    </row>
    <row r="44" customFormat="false" ht="48" hidden="false" customHeight="true" outlineLevel="0" collapsed="false">
      <c r="A44" s="12" t="s">
        <v>299</v>
      </c>
      <c r="B44" s="5" t="s">
        <v>60</v>
      </c>
      <c r="C44" s="7" t="s">
        <v>286</v>
      </c>
      <c r="D44" s="7" t="s">
        <v>300</v>
      </c>
      <c r="E44" s="7" t="s">
        <v>301</v>
      </c>
      <c r="F44" s="7" t="s">
        <v>275</v>
      </c>
      <c r="G44" s="7" t="s">
        <v>302</v>
      </c>
      <c r="H44" s="27" t="s">
        <v>122</v>
      </c>
      <c r="I44" s="27" t="s">
        <v>186</v>
      </c>
      <c r="J44" s="28"/>
      <c r="K44" s="29"/>
      <c r="L44" s="28"/>
      <c r="M44" s="6"/>
    </row>
    <row r="45" customFormat="false" ht="48" hidden="false" customHeight="true" outlineLevel="0" collapsed="false">
      <c r="A45" s="12" t="s">
        <v>303</v>
      </c>
      <c r="B45" s="5" t="s">
        <v>60</v>
      </c>
      <c r="C45" s="7" t="s">
        <v>304</v>
      </c>
      <c r="D45" s="7" t="s">
        <v>305</v>
      </c>
      <c r="E45" s="7" t="s">
        <v>306</v>
      </c>
      <c r="F45" s="7" t="s">
        <v>307</v>
      </c>
      <c r="G45" s="7" t="s">
        <v>308</v>
      </c>
      <c r="H45" s="27" t="s">
        <v>110</v>
      </c>
      <c r="I45" s="27" t="s">
        <v>32</v>
      </c>
      <c r="J45" s="28"/>
      <c r="K45" s="29"/>
      <c r="L45" s="28"/>
      <c r="M45" s="6"/>
    </row>
    <row r="46" customFormat="false" ht="48" hidden="false" customHeight="true" outlineLevel="0" collapsed="false">
      <c r="A46" s="12" t="s">
        <v>309</v>
      </c>
      <c r="B46" s="5" t="s">
        <v>61</v>
      </c>
      <c r="C46" s="7" t="s">
        <v>310</v>
      </c>
      <c r="D46" s="7" t="s">
        <v>311</v>
      </c>
      <c r="E46" s="7" t="s">
        <v>312</v>
      </c>
      <c r="F46" s="7" t="s">
        <v>313</v>
      </c>
      <c r="G46" s="7" t="s">
        <v>314</v>
      </c>
      <c r="H46" s="27" t="s">
        <v>104</v>
      </c>
      <c r="I46" s="27" t="s">
        <v>32</v>
      </c>
      <c r="J46" s="28"/>
      <c r="K46" s="29"/>
      <c r="L46" s="28"/>
      <c r="M46" s="6"/>
    </row>
    <row r="47" customFormat="false" ht="48" hidden="false" customHeight="true" outlineLevel="0" collapsed="false">
      <c r="A47" s="12" t="s">
        <v>315</v>
      </c>
      <c r="B47" s="5" t="s">
        <v>61</v>
      </c>
      <c r="C47" s="7" t="s">
        <v>310</v>
      </c>
      <c r="D47" s="7" t="s">
        <v>316</v>
      </c>
      <c r="E47" s="7" t="s">
        <v>317</v>
      </c>
      <c r="F47" s="7" t="s">
        <v>318</v>
      </c>
      <c r="G47" s="7" t="s">
        <v>319</v>
      </c>
      <c r="H47" s="27" t="s">
        <v>104</v>
      </c>
      <c r="I47" s="27" t="s">
        <v>32</v>
      </c>
      <c r="J47" s="28"/>
      <c r="K47" s="29"/>
      <c r="L47" s="28"/>
      <c r="M47" s="6"/>
    </row>
    <row r="48" customFormat="false" ht="48" hidden="false" customHeight="true" outlineLevel="0" collapsed="false">
      <c r="A48" s="12" t="s">
        <v>320</v>
      </c>
      <c r="B48" s="5" t="s">
        <v>61</v>
      </c>
      <c r="C48" s="7" t="s">
        <v>310</v>
      </c>
      <c r="D48" s="7" t="s">
        <v>321</v>
      </c>
      <c r="E48" s="7" t="s">
        <v>322</v>
      </c>
      <c r="F48" s="7" t="s">
        <v>318</v>
      </c>
      <c r="G48" s="7" t="s">
        <v>323</v>
      </c>
      <c r="H48" s="27" t="s">
        <v>110</v>
      </c>
      <c r="I48" s="27" t="s">
        <v>32</v>
      </c>
      <c r="J48" s="28"/>
      <c r="K48" s="29"/>
      <c r="L48" s="28"/>
      <c r="M48" s="6"/>
    </row>
    <row r="49" customFormat="false" ht="48" hidden="false" customHeight="true" outlineLevel="0" collapsed="false">
      <c r="A49" s="12" t="s">
        <v>324</v>
      </c>
      <c r="B49" s="5" t="s">
        <v>61</v>
      </c>
      <c r="C49" s="7" t="s">
        <v>325</v>
      </c>
      <c r="D49" s="7" t="s">
        <v>326</v>
      </c>
      <c r="E49" s="7" t="s">
        <v>327</v>
      </c>
      <c r="F49" s="7" t="s">
        <v>318</v>
      </c>
      <c r="G49" s="7" t="s">
        <v>328</v>
      </c>
      <c r="H49" s="27" t="s">
        <v>104</v>
      </c>
      <c r="I49" s="27" t="s">
        <v>32</v>
      </c>
      <c r="J49" s="28"/>
      <c r="K49" s="29"/>
      <c r="L49" s="28"/>
      <c r="M49" s="6"/>
    </row>
    <row r="50" customFormat="false" ht="48" hidden="false" customHeight="true" outlineLevel="0" collapsed="false">
      <c r="A50" s="12" t="s">
        <v>329</v>
      </c>
      <c r="B50" s="5" t="s">
        <v>61</v>
      </c>
      <c r="C50" s="7" t="s">
        <v>325</v>
      </c>
      <c r="D50" s="7" t="s">
        <v>330</v>
      </c>
      <c r="E50" s="7" t="s">
        <v>331</v>
      </c>
      <c r="F50" s="7" t="s">
        <v>318</v>
      </c>
      <c r="G50" s="7" t="s">
        <v>332</v>
      </c>
      <c r="H50" s="27" t="s">
        <v>104</v>
      </c>
      <c r="I50" s="27" t="s">
        <v>32</v>
      </c>
      <c r="J50" s="28"/>
      <c r="K50" s="29"/>
      <c r="L50" s="28"/>
      <c r="M50" s="6"/>
    </row>
    <row r="51" customFormat="false" ht="48" hidden="false" customHeight="true" outlineLevel="0" collapsed="false">
      <c r="A51" s="12" t="s">
        <v>333</v>
      </c>
      <c r="B51" s="5" t="s">
        <v>61</v>
      </c>
      <c r="C51" s="7" t="s">
        <v>325</v>
      </c>
      <c r="D51" s="7" t="s">
        <v>334</v>
      </c>
      <c r="E51" s="7" t="s">
        <v>335</v>
      </c>
      <c r="F51" s="7" t="s">
        <v>318</v>
      </c>
      <c r="G51" s="5" t="s">
        <v>336</v>
      </c>
      <c r="H51" s="27" t="s">
        <v>110</v>
      </c>
      <c r="I51" s="27" t="s">
        <v>32</v>
      </c>
      <c r="J51" s="28"/>
      <c r="K51" s="29"/>
      <c r="L51" s="28"/>
      <c r="M51" s="6"/>
    </row>
    <row r="52" customFormat="false" ht="48" hidden="false" customHeight="true" outlineLevel="0" collapsed="false">
      <c r="A52" s="12" t="s">
        <v>337</v>
      </c>
      <c r="B52" s="5" t="s">
        <v>61</v>
      </c>
      <c r="C52" s="7" t="s">
        <v>325</v>
      </c>
      <c r="D52" s="7" t="s">
        <v>338</v>
      </c>
      <c r="E52" s="7" t="s">
        <v>339</v>
      </c>
      <c r="F52" s="7" t="s">
        <v>340</v>
      </c>
      <c r="G52" s="7" t="s">
        <v>341</v>
      </c>
      <c r="H52" s="27" t="s">
        <v>104</v>
      </c>
      <c r="I52" s="27" t="s">
        <v>32</v>
      </c>
      <c r="J52" s="28"/>
      <c r="K52" s="29"/>
      <c r="L52" s="28"/>
      <c r="M52" s="6"/>
    </row>
    <row r="53" customFormat="false" ht="48" hidden="false" customHeight="true" outlineLevel="0" collapsed="false">
      <c r="A53" s="12" t="s">
        <v>342</v>
      </c>
      <c r="B53" s="5" t="s">
        <v>61</v>
      </c>
      <c r="C53" s="7" t="s">
        <v>325</v>
      </c>
      <c r="D53" s="7" t="s">
        <v>343</v>
      </c>
      <c r="E53" s="7" t="s">
        <v>344</v>
      </c>
      <c r="F53" s="7" t="s">
        <v>340</v>
      </c>
      <c r="G53" s="7" t="s">
        <v>345</v>
      </c>
      <c r="H53" s="27" t="s">
        <v>110</v>
      </c>
      <c r="I53" s="27" t="s">
        <v>32</v>
      </c>
      <c r="J53" s="28"/>
      <c r="K53" s="29"/>
      <c r="L53" s="28"/>
      <c r="M53" s="6"/>
    </row>
    <row r="54" customFormat="false" ht="48" hidden="false" customHeight="true" outlineLevel="0" collapsed="false">
      <c r="A54" s="12" t="s">
        <v>346</v>
      </c>
      <c r="B54" s="5" t="s">
        <v>61</v>
      </c>
      <c r="C54" s="7" t="s">
        <v>325</v>
      </c>
      <c r="D54" s="7" t="s">
        <v>347</v>
      </c>
      <c r="E54" s="7" t="s">
        <v>348</v>
      </c>
      <c r="F54" s="7" t="s">
        <v>340</v>
      </c>
      <c r="G54" s="7" t="s">
        <v>349</v>
      </c>
      <c r="H54" s="27" t="s">
        <v>110</v>
      </c>
      <c r="I54" s="27" t="s">
        <v>32</v>
      </c>
      <c r="J54" s="28"/>
      <c r="K54" s="29"/>
      <c r="L54" s="28"/>
      <c r="M54" s="6"/>
    </row>
    <row r="55" customFormat="false" ht="48" hidden="false" customHeight="true" outlineLevel="0" collapsed="false">
      <c r="A55" s="12" t="s">
        <v>350</v>
      </c>
      <c r="B55" s="5" t="s">
        <v>61</v>
      </c>
      <c r="C55" s="7" t="s">
        <v>325</v>
      </c>
      <c r="D55" s="7" t="s">
        <v>351</v>
      </c>
      <c r="E55" s="7" t="s">
        <v>114</v>
      </c>
      <c r="F55" s="7" t="s">
        <v>352</v>
      </c>
      <c r="G55" s="7" t="s">
        <v>353</v>
      </c>
      <c r="H55" s="27" t="s">
        <v>104</v>
      </c>
      <c r="I55" s="27" t="s">
        <v>32</v>
      </c>
      <c r="J55" s="28"/>
      <c r="K55" s="29"/>
      <c r="L55" s="28"/>
      <c r="M55" s="6"/>
    </row>
    <row r="56" customFormat="false" ht="48" hidden="false" customHeight="true" outlineLevel="0" collapsed="false">
      <c r="A56" s="12" t="s">
        <v>354</v>
      </c>
      <c r="B56" s="5" t="s">
        <v>61</v>
      </c>
      <c r="C56" s="7" t="s">
        <v>355</v>
      </c>
      <c r="D56" s="7" t="s">
        <v>356</v>
      </c>
      <c r="E56" s="7" t="s">
        <v>114</v>
      </c>
      <c r="F56" s="7" t="s">
        <v>357</v>
      </c>
      <c r="G56" s="7" t="s">
        <v>358</v>
      </c>
      <c r="H56" s="27" t="s">
        <v>104</v>
      </c>
      <c r="I56" s="27" t="s">
        <v>256</v>
      </c>
      <c r="J56" s="28"/>
      <c r="K56" s="29"/>
      <c r="L56" s="28"/>
      <c r="M56" s="6"/>
    </row>
    <row r="57" customFormat="false" ht="48" hidden="false" customHeight="true" outlineLevel="0" collapsed="false">
      <c r="A57" s="12" t="s">
        <v>359</v>
      </c>
      <c r="B57" s="5" t="s">
        <v>62</v>
      </c>
      <c r="C57" s="7" t="s">
        <v>360</v>
      </c>
      <c r="D57" s="7" t="s">
        <v>361</v>
      </c>
      <c r="E57" s="7" t="s">
        <v>362</v>
      </c>
      <c r="F57" s="7" t="s">
        <v>363</v>
      </c>
      <c r="G57" s="7" t="s">
        <v>364</v>
      </c>
      <c r="H57" s="27" t="s">
        <v>104</v>
      </c>
      <c r="I57" s="27" t="s">
        <v>32</v>
      </c>
      <c r="J57" s="28"/>
      <c r="K57" s="29"/>
      <c r="L57" s="28"/>
      <c r="M57" s="6"/>
    </row>
    <row r="58" customFormat="false" ht="48" hidden="false" customHeight="true" outlineLevel="0" collapsed="false">
      <c r="A58" s="12" t="s">
        <v>365</v>
      </c>
      <c r="B58" s="5" t="s">
        <v>62</v>
      </c>
      <c r="C58" s="7" t="s">
        <v>360</v>
      </c>
      <c r="D58" s="7" t="s">
        <v>366</v>
      </c>
      <c r="E58" s="7" t="s">
        <v>367</v>
      </c>
      <c r="F58" s="7" t="s">
        <v>363</v>
      </c>
      <c r="G58" s="7" t="s">
        <v>368</v>
      </c>
      <c r="H58" s="27" t="s">
        <v>110</v>
      </c>
      <c r="I58" s="27" t="s">
        <v>32</v>
      </c>
      <c r="J58" s="28"/>
      <c r="K58" s="29"/>
      <c r="L58" s="28"/>
      <c r="M58" s="6"/>
    </row>
    <row r="59" customFormat="false" ht="48" hidden="false" customHeight="true" outlineLevel="0" collapsed="false">
      <c r="A59" s="12" t="s">
        <v>369</v>
      </c>
      <c r="B59" s="5" t="s">
        <v>62</v>
      </c>
      <c r="C59" s="7" t="s">
        <v>360</v>
      </c>
      <c r="D59" s="7" t="s">
        <v>370</v>
      </c>
      <c r="E59" s="7" t="s">
        <v>371</v>
      </c>
      <c r="F59" s="7" t="s">
        <v>363</v>
      </c>
      <c r="G59" s="7" t="s">
        <v>372</v>
      </c>
      <c r="H59" s="27" t="s">
        <v>110</v>
      </c>
      <c r="I59" s="27" t="s">
        <v>32</v>
      </c>
      <c r="J59" s="28"/>
      <c r="K59" s="29"/>
      <c r="L59" s="28"/>
      <c r="M59" s="6"/>
    </row>
    <row r="60" customFormat="false" ht="48" hidden="false" customHeight="true" outlineLevel="0" collapsed="false">
      <c r="A60" s="12" t="s">
        <v>373</v>
      </c>
      <c r="B60" s="5" t="s">
        <v>62</v>
      </c>
      <c r="C60" s="7" t="s">
        <v>360</v>
      </c>
      <c r="D60" s="7" t="s">
        <v>374</v>
      </c>
      <c r="E60" s="7" t="s">
        <v>375</v>
      </c>
      <c r="F60" s="7" t="s">
        <v>363</v>
      </c>
      <c r="G60" s="7" t="s">
        <v>376</v>
      </c>
      <c r="H60" s="27" t="s">
        <v>110</v>
      </c>
      <c r="I60" s="27" t="s">
        <v>32</v>
      </c>
      <c r="J60" s="28"/>
      <c r="K60" s="29"/>
      <c r="L60" s="28"/>
      <c r="M60" s="6"/>
    </row>
    <row r="61" customFormat="false" ht="48" hidden="false" customHeight="true" outlineLevel="0" collapsed="false">
      <c r="A61" s="12" t="s">
        <v>377</v>
      </c>
      <c r="B61" s="5" t="s">
        <v>62</v>
      </c>
      <c r="C61" s="7" t="s">
        <v>360</v>
      </c>
      <c r="D61" s="7" t="s">
        <v>378</v>
      </c>
      <c r="E61" s="7" t="s">
        <v>379</v>
      </c>
      <c r="F61" s="7" t="s">
        <v>380</v>
      </c>
      <c r="G61" s="7" t="s">
        <v>381</v>
      </c>
      <c r="H61" s="27" t="s">
        <v>122</v>
      </c>
      <c r="I61" s="27" t="s">
        <v>32</v>
      </c>
      <c r="J61" s="28"/>
      <c r="K61" s="29"/>
      <c r="L61" s="28"/>
      <c r="M61" s="6"/>
    </row>
    <row r="62" customFormat="false" ht="48" hidden="false" customHeight="true" outlineLevel="0" collapsed="false">
      <c r="A62" s="12" t="s">
        <v>382</v>
      </c>
      <c r="B62" s="5" t="s">
        <v>62</v>
      </c>
      <c r="C62" s="7" t="s">
        <v>360</v>
      </c>
      <c r="D62" s="7" t="s">
        <v>383</v>
      </c>
      <c r="E62" s="7" t="s">
        <v>384</v>
      </c>
      <c r="F62" s="7" t="s">
        <v>363</v>
      </c>
      <c r="G62" s="7" t="s">
        <v>385</v>
      </c>
      <c r="H62" s="27" t="s">
        <v>110</v>
      </c>
      <c r="I62" s="27" t="s">
        <v>32</v>
      </c>
      <c r="J62" s="28"/>
      <c r="K62" s="29"/>
      <c r="L62" s="28"/>
      <c r="M62" s="6"/>
    </row>
    <row r="63" customFormat="false" ht="48" hidden="false" customHeight="true" outlineLevel="0" collapsed="false">
      <c r="A63" s="12" t="s">
        <v>386</v>
      </c>
      <c r="B63" s="5" t="s">
        <v>62</v>
      </c>
      <c r="C63" s="7" t="s">
        <v>387</v>
      </c>
      <c r="D63" s="5" t="s">
        <v>388</v>
      </c>
      <c r="E63" s="7" t="s">
        <v>389</v>
      </c>
      <c r="F63" s="7" t="s">
        <v>390</v>
      </c>
      <c r="G63" s="7" t="s">
        <v>391</v>
      </c>
      <c r="H63" s="27" t="s">
        <v>104</v>
      </c>
      <c r="I63" s="27" t="s">
        <v>32</v>
      </c>
      <c r="J63" s="28"/>
      <c r="K63" s="29"/>
      <c r="L63" s="28"/>
      <c r="M63" s="6"/>
    </row>
    <row r="64" customFormat="false" ht="48" hidden="false" customHeight="true" outlineLevel="0" collapsed="false">
      <c r="A64" s="12" t="s">
        <v>392</v>
      </c>
      <c r="B64" s="5" t="s">
        <v>62</v>
      </c>
      <c r="C64" s="7" t="s">
        <v>387</v>
      </c>
      <c r="D64" s="7" t="s">
        <v>393</v>
      </c>
      <c r="E64" s="7" t="s">
        <v>394</v>
      </c>
      <c r="F64" s="7" t="s">
        <v>395</v>
      </c>
      <c r="G64" s="7" t="s">
        <v>396</v>
      </c>
      <c r="H64" s="27" t="s">
        <v>104</v>
      </c>
      <c r="I64" s="27" t="s">
        <v>32</v>
      </c>
      <c r="J64" s="28"/>
      <c r="K64" s="29"/>
      <c r="L64" s="28"/>
      <c r="M64" s="6"/>
    </row>
    <row r="65" customFormat="false" ht="48" hidden="false" customHeight="true" outlineLevel="0" collapsed="false">
      <c r="A65" s="12" t="s">
        <v>397</v>
      </c>
      <c r="B65" s="5" t="s">
        <v>62</v>
      </c>
      <c r="C65" s="7" t="s">
        <v>387</v>
      </c>
      <c r="D65" s="7" t="s">
        <v>398</v>
      </c>
      <c r="E65" s="7" t="s">
        <v>399</v>
      </c>
      <c r="F65" s="7" t="s">
        <v>395</v>
      </c>
      <c r="G65" s="7" t="s">
        <v>400</v>
      </c>
      <c r="H65" s="27" t="s">
        <v>110</v>
      </c>
      <c r="I65" s="27" t="s">
        <v>32</v>
      </c>
      <c r="J65" s="28"/>
      <c r="K65" s="29"/>
      <c r="L65" s="28"/>
      <c r="M65" s="6"/>
    </row>
    <row r="66" customFormat="false" ht="48" hidden="false" customHeight="true" outlineLevel="0" collapsed="false">
      <c r="A66" s="12" t="s">
        <v>401</v>
      </c>
      <c r="B66" s="5" t="s">
        <v>62</v>
      </c>
      <c r="C66" s="7" t="s">
        <v>387</v>
      </c>
      <c r="D66" s="7" t="s">
        <v>402</v>
      </c>
      <c r="E66" s="7" t="s">
        <v>403</v>
      </c>
      <c r="F66" s="7" t="s">
        <v>395</v>
      </c>
      <c r="G66" s="7" t="s">
        <v>404</v>
      </c>
      <c r="H66" s="27" t="s">
        <v>110</v>
      </c>
      <c r="I66" s="27" t="s">
        <v>32</v>
      </c>
      <c r="J66" s="28"/>
      <c r="K66" s="29"/>
      <c r="L66" s="28"/>
      <c r="M66" s="6"/>
    </row>
    <row r="67" customFormat="false" ht="48" hidden="false" customHeight="true" outlineLevel="0" collapsed="false">
      <c r="A67" s="12" t="s">
        <v>405</v>
      </c>
      <c r="B67" s="5" t="s">
        <v>62</v>
      </c>
      <c r="C67" s="7" t="s">
        <v>387</v>
      </c>
      <c r="D67" s="5" t="s">
        <v>406</v>
      </c>
      <c r="E67" s="7" t="s">
        <v>407</v>
      </c>
      <c r="F67" s="7" t="s">
        <v>395</v>
      </c>
      <c r="G67" s="7" t="s">
        <v>408</v>
      </c>
      <c r="H67" s="27" t="s">
        <v>110</v>
      </c>
      <c r="I67" s="27" t="s">
        <v>32</v>
      </c>
      <c r="J67" s="28"/>
      <c r="K67" s="29"/>
      <c r="L67" s="28"/>
      <c r="M67" s="6"/>
    </row>
    <row r="68" customFormat="false" ht="48" hidden="false" customHeight="true" outlineLevel="0" collapsed="false">
      <c r="A68" s="12" t="s">
        <v>409</v>
      </c>
      <c r="B68" s="5" t="s">
        <v>62</v>
      </c>
      <c r="C68" s="7" t="s">
        <v>387</v>
      </c>
      <c r="D68" s="5" t="s">
        <v>410</v>
      </c>
      <c r="E68" s="7" t="s">
        <v>411</v>
      </c>
      <c r="F68" s="7" t="s">
        <v>395</v>
      </c>
      <c r="G68" s="7" t="s">
        <v>412</v>
      </c>
      <c r="H68" s="27" t="s">
        <v>122</v>
      </c>
      <c r="I68" s="27" t="s">
        <v>186</v>
      </c>
      <c r="J68" s="28"/>
      <c r="K68" s="29"/>
      <c r="L68" s="28"/>
      <c r="M68" s="6"/>
    </row>
    <row r="69" customFormat="false" ht="48" hidden="false" customHeight="true" outlineLevel="0" collapsed="false">
      <c r="A69" s="12" t="s">
        <v>413</v>
      </c>
      <c r="B69" s="5" t="s">
        <v>62</v>
      </c>
      <c r="C69" s="7" t="s">
        <v>387</v>
      </c>
      <c r="D69" s="7" t="s">
        <v>414</v>
      </c>
      <c r="E69" s="5" t="s">
        <v>415</v>
      </c>
      <c r="F69" s="5" t="s">
        <v>416</v>
      </c>
      <c r="G69" s="7" t="s">
        <v>417</v>
      </c>
      <c r="H69" s="27" t="s">
        <v>110</v>
      </c>
      <c r="I69" s="27" t="s">
        <v>186</v>
      </c>
      <c r="J69" s="28"/>
      <c r="K69" s="29"/>
      <c r="L69" s="28"/>
      <c r="M69" s="6"/>
    </row>
    <row r="70" customFormat="false" ht="48" hidden="false" customHeight="true" outlineLevel="0" collapsed="false">
      <c r="A70" s="12" t="s">
        <v>418</v>
      </c>
      <c r="B70" s="5" t="s">
        <v>62</v>
      </c>
      <c r="C70" s="7" t="s">
        <v>387</v>
      </c>
      <c r="D70" s="7" t="s">
        <v>419</v>
      </c>
      <c r="E70" s="7" t="s">
        <v>420</v>
      </c>
      <c r="F70" s="7" t="s">
        <v>395</v>
      </c>
      <c r="G70" s="7" t="s">
        <v>421</v>
      </c>
      <c r="H70" s="27" t="s">
        <v>122</v>
      </c>
      <c r="I70" s="27" t="s">
        <v>32</v>
      </c>
      <c r="J70" s="28"/>
      <c r="K70" s="29"/>
      <c r="L70" s="28"/>
      <c r="M70" s="6"/>
    </row>
    <row r="71" customFormat="false" ht="48" hidden="false" customHeight="true" outlineLevel="0" collapsed="false">
      <c r="A71" s="12" t="s">
        <v>422</v>
      </c>
      <c r="B71" s="5" t="s">
        <v>62</v>
      </c>
      <c r="C71" s="7" t="s">
        <v>387</v>
      </c>
      <c r="D71" s="7" t="s">
        <v>423</v>
      </c>
      <c r="E71" s="7" t="s">
        <v>114</v>
      </c>
      <c r="F71" s="7" t="s">
        <v>424</v>
      </c>
      <c r="G71" s="7" t="s">
        <v>425</v>
      </c>
      <c r="H71" s="27" t="s">
        <v>110</v>
      </c>
      <c r="I71" s="27" t="s">
        <v>32</v>
      </c>
      <c r="J71" s="28"/>
      <c r="K71" s="29"/>
      <c r="L71" s="28"/>
      <c r="M71" s="6"/>
    </row>
    <row r="72" customFormat="false" ht="48" hidden="false" customHeight="true" outlineLevel="0" collapsed="false">
      <c r="A72" s="12" t="s">
        <v>426</v>
      </c>
      <c r="B72" s="5" t="s">
        <v>62</v>
      </c>
      <c r="C72" s="7" t="s">
        <v>427</v>
      </c>
      <c r="D72" s="7" t="s">
        <v>428</v>
      </c>
      <c r="E72" s="7" t="s">
        <v>429</v>
      </c>
      <c r="F72" s="7" t="s">
        <v>430</v>
      </c>
      <c r="G72" s="7" t="s">
        <v>431</v>
      </c>
      <c r="H72" s="27" t="s">
        <v>110</v>
      </c>
      <c r="I72" s="27" t="s">
        <v>32</v>
      </c>
      <c r="J72" s="28"/>
      <c r="K72" s="29"/>
      <c r="L72" s="28"/>
      <c r="M72" s="6"/>
    </row>
    <row r="73" customFormat="false" ht="48" hidden="false" customHeight="true" outlineLevel="0" collapsed="false">
      <c r="A73" s="12" t="s">
        <v>432</v>
      </c>
      <c r="B73" s="5" t="s">
        <v>63</v>
      </c>
      <c r="C73" s="7" t="s">
        <v>433</v>
      </c>
      <c r="D73" s="7" t="s">
        <v>434</v>
      </c>
      <c r="E73" s="7" t="s">
        <v>435</v>
      </c>
      <c r="F73" s="7" t="s">
        <v>436</v>
      </c>
      <c r="G73" s="7" t="s">
        <v>437</v>
      </c>
      <c r="H73" s="27" t="s">
        <v>110</v>
      </c>
      <c r="I73" s="27" t="s">
        <v>32</v>
      </c>
      <c r="J73" s="28"/>
      <c r="K73" s="29"/>
      <c r="L73" s="28"/>
      <c r="M73" s="6"/>
    </row>
    <row r="74" customFormat="false" ht="48" hidden="false" customHeight="true" outlineLevel="0" collapsed="false">
      <c r="A74" s="12" t="s">
        <v>438</v>
      </c>
      <c r="B74" s="5" t="s">
        <v>63</v>
      </c>
      <c r="C74" s="7" t="s">
        <v>439</v>
      </c>
      <c r="D74" s="7" t="s">
        <v>440</v>
      </c>
      <c r="E74" s="7" t="s">
        <v>435</v>
      </c>
      <c r="F74" s="7" t="s">
        <v>441</v>
      </c>
      <c r="G74" s="7" t="s">
        <v>442</v>
      </c>
      <c r="H74" s="27" t="s">
        <v>104</v>
      </c>
      <c r="I74" s="27" t="s">
        <v>32</v>
      </c>
      <c r="J74" s="28"/>
      <c r="K74" s="29"/>
      <c r="L74" s="28"/>
      <c r="M74" s="6"/>
    </row>
    <row r="75" customFormat="false" ht="48" hidden="false" customHeight="true" outlineLevel="0" collapsed="false">
      <c r="A75" s="12" t="s">
        <v>443</v>
      </c>
      <c r="B75" s="5" t="s">
        <v>63</v>
      </c>
      <c r="C75" s="7" t="s">
        <v>444</v>
      </c>
      <c r="D75" s="7" t="s">
        <v>445</v>
      </c>
      <c r="E75" s="7" t="s">
        <v>446</v>
      </c>
      <c r="F75" s="7" t="s">
        <v>447</v>
      </c>
      <c r="G75" s="7" t="s">
        <v>448</v>
      </c>
      <c r="H75" s="27" t="s">
        <v>110</v>
      </c>
      <c r="I75" s="27" t="s">
        <v>32</v>
      </c>
      <c r="J75" s="28"/>
      <c r="K75" s="29"/>
      <c r="L75" s="28"/>
      <c r="M75" s="6"/>
    </row>
    <row r="76" customFormat="false" ht="48" hidden="false" customHeight="true" outlineLevel="0" collapsed="false">
      <c r="A76" s="12" t="s">
        <v>449</v>
      </c>
      <c r="B76" s="5" t="s">
        <v>63</v>
      </c>
      <c r="C76" s="7" t="s">
        <v>450</v>
      </c>
      <c r="D76" s="7" t="s">
        <v>451</v>
      </c>
      <c r="E76" s="7" t="s">
        <v>452</v>
      </c>
      <c r="F76" s="7" t="s">
        <v>453</v>
      </c>
      <c r="G76" s="7" t="s">
        <v>454</v>
      </c>
      <c r="H76" s="27" t="s">
        <v>104</v>
      </c>
      <c r="I76" s="27" t="s">
        <v>32</v>
      </c>
      <c r="J76" s="28"/>
      <c r="K76" s="29"/>
      <c r="L76" s="28"/>
      <c r="M76" s="6"/>
    </row>
    <row r="77" customFormat="false" ht="48" hidden="false" customHeight="true" outlineLevel="0" collapsed="false">
      <c r="A77" s="12" t="s">
        <v>455</v>
      </c>
      <c r="B77" s="5" t="s">
        <v>64</v>
      </c>
      <c r="C77" s="7" t="s">
        <v>456</v>
      </c>
      <c r="D77" s="7" t="s">
        <v>457</v>
      </c>
      <c r="E77" s="7" t="s">
        <v>458</v>
      </c>
      <c r="F77" s="7" t="s">
        <v>459</v>
      </c>
      <c r="G77" s="7" t="s">
        <v>460</v>
      </c>
      <c r="H77" s="27" t="s">
        <v>110</v>
      </c>
      <c r="I77" s="27" t="s">
        <v>461</v>
      </c>
      <c r="J77" s="28"/>
      <c r="K77" s="29"/>
      <c r="L77" s="28"/>
      <c r="M77" s="6"/>
    </row>
    <row r="78" customFormat="false" ht="48" hidden="false" customHeight="true" outlineLevel="0" collapsed="false">
      <c r="A78" s="12" t="s">
        <v>462</v>
      </c>
      <c r="B78" s="5" t="s">
        <v>64</v>
      </c>
      <c r="C78" s="7" t="s">
        <v>456</v>
      </c>
      <c r="D78" s="7" t="s">
        <v>463</v>
      </c>
      <c r="E78" s="7" t="s">
        <v>464</v>
      </c>
      <c r="F78" s="7" t="s">
        <v>238</v>
      </c>
      <c r="G78" s="7" t="s">
        <v>465</v>
      </c>
      <c r="H78" s="27" t="s">
        <v>122</v>
      </c>
      <c r="I78" s="27" t="s">
        <v>461</v>
      </c>
      <c r="J78" s="28"/>
      <c r="K78" s="29"/>
      <c r="L78" s="28"/>
      <c r="M78" s="6"/>
    </row>
    <row r="79" customFormat="false" ht="48" hidden="false" customHeight="true" outlineLevel="0" collapsed="false">
      <c r="A79" s="12" t="s">
        <v>466</v>
      </c>
      <c r="B79" s="5" t="s">
        <v>64</v>
      </c>
      <c r="C79" s="7" t="s">
        <v>467</v>
      </c>
      <c r="D79" s="7" t="s">
        <v>468</v>
      </c>
      <c r="E79" s="7" t="s">
        <v>469</v>
      </c>
      <c r="F79" s="5" t="s">
        <v>470</v>
      </c>
      <c r="G79" s="5" t="s">
        <v>471</v>
      </c>
      <c r="H79" s="27" t="s">
        <v>104</v>
      </c>
      <c r="I79" s="27" t="s">
        <v>256</v>
      </c>
      <c r="J79" s="28"/>
      <c r="K79" s="29"/>
      <c r="L79" s="28"/>
      <c r="M79" s="6"/>
    </row>
    <row r="80" customFormat="false" ht="48" hidden="false" customHeight="true" outlineLevel="0" collapsed="false">
      <c r="A80" s="12" t="s">
        <v>472</v>
      </c>
      <c r="B80" s="5" t="s">
        <v>64</v>
      </c>
      <c r="C80" s="7" t="s">
        <v>473</v>
      </c>
      <c r="D80" s="7" t="s">
        <v>474</v>
      </c>
      <c r="E80" s="7" t="s">
        <v>114</v>
      </c>
      <c r="F80" s="7" t="s">
        <v>475</v>
      </c>
      <c r="G80" s="5" t="s">
        <v>476</v>
      </c>
      <c r="H80" s="27" t="s">
        <v>110</v>
      </c>
      <c r="I80" s="27" t="s">
        <v>256</v>
      </c>
      <c r="J80" s="28"/>
      <c r="K80" s="29"/>
      <c r="L80" s="28"/>
      <c r="M80" s="6"/>
    </row>
    <row r="81" customFormat="false" ht="48" hidden="false" customHeight="true" outlineLevel="0" collapsed="false">
      <c r="A81" s="12" t="s">
        <v>477</v>
      </c>
      <c r="B81" s="5" t="s">
        <v>64</v>
      </c>
      <c r="C81" s="7" t="s">
        <v>16</v>
      </c>
      <c r="D81" s="5" t="s">
        <v>478</v>
      </c>
      <c r="E81" s="7" t="s">
        <v>479</v>
      </c>
      <c r="F81" s="7" t="s">
        <v>480</v>
      </c>
      <c r="G81" s="7" t="s">
        <v>481</v>
      </c>
      <c r="H81" s="27" t="s">
        <v>122</v>
      </c>
      <c r="I81" s="27" t="s">
        <v>461</v>
      </c>
      <c r="J81" s="28"/>
      <c r="K81" s="29"/>
      <c r="L81" s="28"/>
      <c r="M81" s="6"/>
    </row>
    <row r="82" customFormat="false" ht="48" hidden="false" customHeight="true" outlineLevel="0" collapsed="false">
      <c r="A82" s="12" t="s">
        <v>482</v>
      </c>
      <c r="B82" s="5" t="s">
        <v>64</v>
      </c>
      <c r="C82" s="7" t="s">
        <v>483</v>
      </c>
      <c r="D82" s="7" t="s">
        <v>484</v>
      </c>
      <c r="E82" s="7" t="s">
        <v>485</v>
      </c>
      <c r="F82" s="7" t="s">
        <v>486</v>
      </c>
      <c r="G82" s="7" t="s">
        <v>487</v>
      </c>
      <c r="H82" s="27" t="s">
        <v>104</v>
      </c>
      <c r="I82" s="27" t="s">
        <v>488</v>
      </c>
      <c r="J82" s="28"/>
      <c r="K82" s="29"/>
      <c r="L82" s="28"/>
      <c r="M82" s="6"/>
    </row>
    <row r="83" customFormat="false" ht="48" hidden="false" customHeight="true" outlineLevel="0" collapsed="false">
      <c r="A83" s="12" t="s">
        <v>489</v>
      </c>
      <c r="B83" s="5" t="s">
        <v>64</v>
      </c>
      <c r="C83" s="7" t="s">
        <v>483</v>
      </c>
      <c r="D83" s="7" t="s">
        <v>490</v>
      </c>
      <c r="E83" s="7" t="s">
        <v>491</v>
      </c>
      <c r="F83" s="7" t="s">
        <v>492</v>
      </c>
      <c r="G83" s="7" t="s">
        <v>493</v>
      </c>
      <c r="H83" s="27" t="s">
        <v>110</v>
      </c>
      <c r="I83" s="27" t="s">
        <v>488</v>
      </c>
      <c r="J83" s="28"/>
      <c r="K83" s="29"/>
      <c r="L83" s="28"/>
      <c r="M83" s="6"/>
    </row>
  </sheetData>
  <autoFilter ref="A1:M83"/>
  <conditionalFormatting sqref="J2:J83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"NG"</formula>
    </cfRule>
    <cfRule type="cellIs" priority="4" operator="equal" aboveAverage="0" equalAverage="0" bottom="0" percent="0" rank="0" text="" dxfId="8">
      <formula>"保留"</formula>
    </cfRule>
  </conditionalFormatting>
  <conditionalFormatting sqref="H2:H83">
    <cfRule type="cellIs" priority="5" operator="equal" aboveAverage="0" equalAverage="0" bottom="0" percent="0" rank="0" text="" dxfId="9">
      <formula>"高"</formula>
    </cfRule>
  </conditionalFormatting>
  <dataValidations count="2">
    <dataValidation allowBlank="true" errorStyle="stop" operator="between" showDropDown="false" showErrorMessage="false" showInputMessage="false" sqref="J2:J83" type="list">
      <formula1>"OK,NG,保留,対象外"</formula1>
      <formula2>0</formula2>
    </dataValidation>
    <dataValidation allowBlank="true" errorStyle="stop" operator="greaterThan" showDropDown="false" showErrorMessage="false" showInputMessage="false" sqref="K2:K83" type="date">
      <formula1>DATE(2026,1,1)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2C6"/>
    <pageSetUpPr fitToPage="tru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6" min="5" style="0" width="32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1" min="11" style="0" width="48"/>
  </cols>
  <sheetData>
    <row r="1" customFormat="false" ht="19.7" hidden="false" customHeight="false" outlineLevel="0" collapsed="false">
      <c r="A1" s="1" t="s">
        <v>494</v>
      </c>
    </row>
    <row r="2" customFormat="false" ht="15" hidden="false" customHeight="false" outlineLevel="0" collapsed="false">
      <c r="A2" s="30" t="s">
        <v>495</v>
      </c>
    </row>
    <row r="4" customFormat="false" ht="26.85" hidden="false" customHeight="false" outlineLevel="0" collapsed="false">
      <c r="A4" s="10" t="s">
        <v>86</v>
      </c>
      <c r="B4" s="9" t="s">
        <v>93</v>
      </c>
      <c r="C4" s="9" t="s">
        <v>496</v>
      </c>
      <c r="D4" s="9" t="s">
        <v>497</v>
      </c>
      <c r="E4" s="9" t="s">
        <v>498</v>
      </c>
      <c r="F4" s="9" t="s">
        <v>499</v>
      </c>
      <c r="G4" s="9" t="s">
        <v>70</v>
      </c>
      <c r="H4" s="9" t="s">
        <v>500</v>
      </c>
      <c r="I4" s="9" t="s">
        <v>501</v>
      </c>
      <c r="K4" s="31" t="s">
        <v>502</v>
      </c>
    </row>
    <row r="5" customFormat="false" ht="36" hidden="false" customHeight="true" outlineLevel="0" collapsed="false">
      <c r="A5" s="12" t="s">
        <v>503</v>
      </c>
      <c r="B5" s="27" t="s">
        <v>504</v>
      </c>
      <c r="C5" s="7" t="s">
        <v>505</v>
      </c>
      <c r="D5" s="7" t="s">
        <v>506</v>
      </c>
      <c r="E5" s="5" t="s">
        <v>507</v>
      </c>
      <c r="F5" s="6"/>
      <c r="G5" s="28"/>
      <c r="H5" s="28"/>
      <c r="I5" s="6"/>
      <c r="K5" s="32" t="s">
        <v>508</v>
      </c>
    </row>
    <row r="6" customFormat="false" ht="36" hidden="false" customHeight="true" outlineLevel="0" collapsed="false">
      <c r="A6" s="12" t="s">
        <v>509</v>
      </c>
      <c r="B6" s="27" t="s">
        <v>504</v>
      </c>
      <c r="C6" s="7" t="s">
        <v>505</v>
      </c>
      <c r="D6" s="7" t="s">
        <v>510</v>
      </c>
      <c r="E6" s="5" t="s">
        <v>511</v>
      </c>
      <c r="F6" s="6"/>
      <c r="G6" s="28"/>
      <c r="H6" s="28"/>
      <c r="I6" s="6"/>
      <c r="K6" s="32" t="s">
        <v>512</v>
      </c>
    </row>
    <row r="7" customFormat="false" ht="36" hidden="false" customHeight="true" outlineLevel="0" collapsed="false">
      <c r="A7" s="12" t="s">
        <v>513</v>
      </c>
      <c r="B7" s="27" t="s">
        <v>504</v>
      </c>
      <c r="C7" s="7" t="s">
        <v>505</v>
      </c>
      <c r="D7" s="5" t="s">
        <v>514</v>
      </c>
      <c r="E7" s="5" t="s">
        <v>515</v>
      </c>
      <c r="F7" s="6"/>
      <c r="G7" s="28"/>
      <c r="H7" s="28"/>
      <c r="I7" s="6"/>
      <c r="K7" s="33" t="s">
        <v>516</v>
      </c>
    </row>
    <row r="8" customFormat="false" ht="36" hidden="false" customHeight="true" outlineLevel="0" collapsed="false">
      <c r="A8" s="12" t="s">
        <v>517</v>
      </c>
      <c r="B8" s="27" t="s">
        <v>504</v>
      </c>
      <c r="C8" s="7" t="s">
        <v>505</v>
      </c>
      <c r="D8" s="5" t="s">
        <v>518</v>
      </c>
      <c r="E8" s="5" t="s">
        <v>519</v>
      </c>
      <c r="F8" s="6"/>
      <c r="G8" s="28"/>
      <c r="H8" s="28"/>
      <c r="I8" s="6"/>
      <c r="K8" s="32" t="s">
        <v>520</v>
      </c>
    </row>
    <row r="9" customFormat="false" ht="36" hidden="false" customHeight="true" outlineLevel="0" collapsed="false">
      <c r="A9" s="12" t="s">
        <v>521</v>
      </c>
      <c r="B9" s="27" t="s">
        <v>504</v>
      </c>
      <c r="C9" s="7" t="s">
        <v>505</v>
      </c>
      <c r="D9" s="5" t="s">
        <v>522</v>
      </c>
      <c r="E9" s="5" t="s">
        <v>523</v>
      </c>
      <c r="F9" s="6"/>
      <c r="G9" s="28"/>
      <c r="H9" s="28"/>
      <c r="I9" s="6"/>
    </row>
    <row r="10" customFormat="false" ht="36" hidden="false" customHeight="true" outlineLevel="0" collapsed="false">
      <c r="A10" s="12" t="s">
        <v>524</v>
      </c>
      <c r="B10" s="27" t="s">
        <v>504</v>
      </c>
      <c r="C10" s="7" t="s">
        <v>505</v>
      </c>
      <c r="D10" s="5" t="s">
        <v>525</v>
      </c>
      <c r="E10" s="5" t="s">
        <v>526</v>
      </c>
      <c r="F10" s="6"/>
      <c r="G10" s="28"/>
      <c r="H10" s="28"/>
      <c r="I10" s="6"/>
    </row>
    <row r="11" customFormat="false" ht="36" hidden="false" customHeight="true" outlineLevel="0" collapsed="false">
      <c r="A11" s="12" t="s">
        <v>527</v>
      </c>
      <c r="B11" s="27" t="s">
        <v>504</v>
      </c>
      <c r="C11" s="7" t="s">
        <v>505</v>
      </c>
      <c r="D11" s="5" t="s">
        <v>528</v>
      </c>
      <c r="E11" s="5" t="s">
        <v>529</v>
      </c>
      <c r="F11" s="6"/>
      <c r="G11" s="28"/>
      <c r="H11" s="28"/>
      <c r="I11" s="6"/>
    </row>
    <row r="12" customFormat="false" ht="36" hidden="false" customHeight="true" outlineLevel="0" collapsed="false">
      <c r="A12" s="12" t="s">
        <v>530</v>
      </c>
      <c r="B12" s="27" t="s">
        <v>504</v>
      </c>
      <c r="C12" s="7" t="s">
        <v>505</v>
      </c>
      <c r="D12" s="7" t="s">
        <v>531</v>
      </c>
      <c r="E12" s="7" t="s">
        <v>532</v>
      </c>
      <c r="F12" s="6"/>
      <c r="G12" s="28"/>
      <c r="H12" s="28"/>
      <c r="I12" s="6"/>
    </row>
    <row r="13" customFormat="false" ht="36" hidden="false" customHeight="true" outlineLevel="0" collapsed="false">
      <c r="A13" s="12" t="s">
        <v>533</v>
      </c>
      <c r="B13" s="27" t="s">
        <v>504</v>
      </c>
      <c r="C13" s="7" t="s">
        <v>505</v>
      </c>
      <c r="D13" s="5" t="s">
        <v>534</v>
      </c>
      <c r="E13" s="7" t="s">
        <v>535</v>
      </c>
      <c r="F13" s="6"/>
      <c r="G13" s="28"/>
      <c r="H13" s="28"/>
      <c r="I13" s="6"/>
    </row>
    <row r="14" customFormat="false" ht="36" hidden="false" customHeight="true" outlineLevel="0" collapsed="false">
      <c r="A14" s="12" t="s">
        <v>536</v>
      </c>
      <c r="B14" s="27" t="s">
        <v>504</v>
      </c>
      <c r="C14" s="7" t="s">
        <v>505</v>
      </c>
      <c r="D14" s="5" t="s">
        <v>537</v>
      </c>
      <c r="E14" s="7" t="s">
        <v>538</v>
      </c>
      <c r="F14" s="6"/>
      <c r="G14" s="28"/>
      <c r="H14" s="28"/>
      <c r="I14" s="6"/>
    </row>
    <row r="15" customFormat="false" ht="15" hidden="false" customHeight="false" outlineLevel="0" collapsed="false">
      <c r="A15" s="12" t="s">
        <v>539</v>
      </c>
      <c r="B15" s="27" t="s">
        <v>540</v>
      </c>
      <c r="C15" s="6"/>
      <c r="D15" s="6"/>
      <c r="E15" s="6"/>
      <c r="F15" s="6"/>
      <c r="G15" s="28"/>
      <c r="H15" s="28"/>
      <c r="I15" s="6"/>
    </row>
    <row r="16" customFormat="false" ht="15" hidden="false" customHeight="false" outlineLevel="0" collapsed="false">
      <c r="A16" s="12" t="s">
        <v>541</v>
      </c>
      <c r="B16" s="27" t="s">
        <v>540</v>
      </c>
      <c r="C16" s="6"/>
      <c r="D16" s="6"/>
      <c r="E16" s="6"/>
      <c r="F16" s="6"/>
      <c r="G16" s="28"/>
      <c r="H16" s="28"/>
      <c r="I16" s="6"/>
    </row>
    <row r="17" customFormat="false" ht="15" hidden="false" customHeight="false" outlineLevel="0" collapsed="false">
      <c r="A17" s="12" t="s">
        <v>542</v>
      </c>
      <c r="B17" s="27" t="s">
        <v>540</v>
      </c>
      <c r="C17" s="6"/>
      <c r="D17" s="6"/>
      <c r="E17" s="6"/>
      <c r="F17" s="6"/>
      <c r="G17" s="28"/>
      <c r="H17" s="28"/>
      <c r="I17" s="6"/>
    </row>
    <row r="18" customFormat="false" ht="15" hidden="false" customHeight="false" outlineLevel="0" collapsed="false">
      <c r="A18" s="12" t="s">
        <v>543</v>
      </c>
      <c r="B18" s="27" t="s">
        <v>540</v>
      </c>
      <c r="C18" s="6"/>
      <c r="D18" s="6"/>
      <c r="E18" s="6"/>
      <c r="F18" s="6"/>
      <c r="G18" s="28"/>
      <c r="H18" s="28"/>
      <c r="I18" s="6"/>
    </row>
    <row r="19" customFormat="false" ht="15" hidden="false" customHeight="false" outlineLevel="0" collapsed="false">
      <c r="A19" s="12" t="s">
        <v>544</v>
      </c>
      <c r="B19" s="27" t="s">
        <v>540</v>
      </c>
      <c r="C19" s="6"/>
      <c r="D19" s="6"/>
      <c r="E19" s="6"/>
      <c r="F19" s="6"/>
      <c r="G19" s="28"/>
      <c r="H19" s="28"/>
      <c r="I19" s="6"/>
    </row>
    <row r="20" customFormat="false" ht="15" hidden="false" customHeight="false" outlineLevel="0" collapsed="false">
      <c r="A20" s="12" t="s">
        <v>545</v>
      </c>
      <c r="B20" s="27" t="s">
        <v>540</v>
      </c>
      <c r="C20" s="6"/>
      <c r="D20" s="6"/>
      <c r="E20" s="6"/>
      <c r="F20" s="6"/>
      <c r="G20" s="28"/>
      <c r="H20" s="28"/>
      <c r="I20" s="6"/>
    </row>
    <row r="21" customFormat="false" ht="15" hidden="false" customHeight="false" outlineLevel="0" collapsed="false">
      <c r="A21" s="12" t="s">
        <v>546</v>
      </c>
      <c r="B21" s="27" t="s">
        <v>540</v>
      </c>
      <c r="C21" s="6"/>
      <c r="D21" s="6"/>
      <c r="E21" s="6"/>
      <c r="F21" s="6"/>
      <c r="G21" s="28"/>
      <c r="H21" s="28"/>
      <c r="I21" s="6"/>
    </row>
    <row r="22" customFormat="false" ht="15" hidden="false" customHeight="false" outlineLevel="0" collapsed="false">
      <c r="A22" s="12" t="s">
        <v>547</v>
      </c>
      <c r="B22" s="27" t="s">
        <v>540</v>
      </c>
      <c r="C22" s="6"/>
      <c r="D22" s="6"/>
      <c r="E22" s="6"/>
      <c r="F22" s="6"/>
      <c r="G22" s="28"/>
      <c r="H22" s="28"/>
      <c r="I22" s="6"/>
    </row>
    <row r="23" customFormat="false" ht="15" hidden="false" customHeight="false" outlineLevel="0" collapsed="false">
      <c r="A23" s="12" t="s">
        <v>548</v>
      </c>
      <c r="B23" s="27" t="s">
        <v>540</v>
      </c>
      <c r="C23" s="6"/>
      <c r="D23" s="6"/>
      <c r="E23" s="6"/>
      <c r="F23" s="6"/>
      <c r="G23" s="28"/>
      <c r="H23" s="28"/>
      <c r="I23" s="6"/>
    </row>
    <row r="24" customFormat="false" ht="15" hidden="false" customHeight="false" outlineLevel="0" collapsed="false">
      <c r="A24" s="12" t="s">
        <v>549</v>
      </c>
      <c r="B24" s="27" t="s">
        <v>540</v>
      </c>
      <c r="C24" s="6"/>
      <c r="D24" s="6"/>
      <c r="E24" s="6"/>
      <c r="F24" s="6"/>
      <c r="G24" s="28"/>
      <c r="H24" s="28"/>
      <c r="I24" s="6"/>
    </row>
    <row r="25" customFormat="false" ht="15" hidden="false" customHeight="false" outlineLevel="0" collapsed="false">
      <c r="A25" s="12" t="s">
        <v>550</v>
      </c>
      <c r="B25" s="27" t="s">
        <v>540</v>
      </c>
      <c r="C25" s="6"/>
      <c r="D25" s="6"/>
      <c r="E25" s="6"/>
      <c r="F25" s="6"/>
      <c r="G25" s="28"/>
      <c r="H25" s="28"/>
      <c r="I25" s="6"/>
    </row>
    <row r="26" customFormat="false" ht="15" hidden="false" customHeight="false" outlineLevel="0" collapsed="false">
      <c r="A26" s="12" t="s">
        <v>551</v>
      </c>
      <c r="B26" s="27" t="s">
        <v>540</v>
      </c>
      <c r="C26" s="6"/>
      <c r="D26" s="6"/>
      <c r="E26" s="6"/>
      <c r="F26" s="6"/>
      <c r="G26" s="28"/>
      <c r="H26" s="28"/>
      <c r="I26" s="6"/>
    </row>
    <row r="27" customFormat="false" ht="15" hidden="false" customHeight="false" outlineLevel="0" collapsed="false">
      <c r="A27" s="12" t="s">
        <v>552</v>
      </c>
      <c r="B27" s="27" t="s">
        <v>540</v>
      </c>
      <c r="C27" s="6"/>
      <c r="D27" s="6"/>
      <c r="E27" s="6"/>
      <c r="F27" s="6"/>
      <c r="G27" s="28"/>
      <c r="H27" s="28"/>
      <c r="I27" s="6"/>
    </row>
    <row r="28" customFormat="false" ht="15" hidden="false" customHeight="false" outlineLevel="0" collapsed="false">
      <c r="A28" s="12" t="s">
        <v>553</v>
      </c>
      <c r="B28" s="27" t="s">
        <v>540</v>
      </c>
      <c r="C28" s="6"/>
      <c r="D28" s="6"/>
      <c r="E28" s="6"/>
      <c r="F28" s="6"/>
      <c r="G28" s="28"/>
      <c r="H28" s="28"/>
      <c r="I28" s="6"/>
    </row>
    <row r="29" customFormat="false" ht="15" hidden="false" customHeight="false" outlineLevel="0" collapsed="false">
      <c r="A29" s="12" t="s">
        <v>554</v>
      </c>
      <c r="B29" s="27" t="s">
        <v>540</v>
      </c>
      <c r="C29" s="6"/>
      <c r="D29" s="6"/>
      <c r="E29" s="6"/>
      <c r="F29" s="6"/>
      <c r="G29" s="28"/>
      <c r="H29" s="28"/>
      <c r="I29" s="6"/>
    </row>
    <row r="30" customFormat="false" ht="15" hidden="false" customHeight="false" outlineLevel="0" collapsed="false">
      <c r="A30" s="12" t="s">
        <v>555</v>
      </c>
      <c r="B30" s="27" t="s">
        <v>540</v>
      </c>
      <c r="C30" s="6"/>
      <c r="D30" s="6"/>
      <c r="E30" s="6"/>
      <c r="F30" s="6"/>
      <c r="G30" s="28"/>
      <c r="H30" s="28"/>
      <c r="I30" s="6"/>
    </row>
    <row r="31" customFormat="false" ht="15" hidden="false" customHeight="false" outlineLevel="0" collapsed="false">
      <c r="A31" s="12" t="s">
        <v>556</v>
      </c>
      <c r="B31" s="27" t="s">
        <v>540</v>
      </c>
      <c r="C31" s="6"/>
      <c r="D31" s="6"/>
      <c r="E31" s="6"/>
      <c r="F31" s="6"/>
      <c r="G31" s="28"/>
      <c r="H31" s="28"/>
      <c r="I31" s="6"/>
    </row>
    <row r="32" customFormat="false" ht="15" hidden="false" customHeight="false" outlineLevel="0" collapsed="false">
      <c r="A32" s="12" t="s">
        <v>557</v>
      </c>
      <c r="B32" s="27" t="s">
        <v>540</v>
      </c>
      <c r="C32" s="6"/>
      <c r="D32" s="6"/>
      <c r="E32" s="6"/>
      <c r="F32" s="6"/>
      <c r="G32" s="28"/>
      <c r="H32" s="28"/>
      <c r="I32" s="6"/>
    </row>
    <row r="33" customFormat="false" ht="15" hidden="false" customHeight="false" outlineLevel="0" collapsed="false">
      <c r="A33" s="12" t="s">
        <v>558</v>
      </c>
      <c r="B33" s="27" t="s">
        <v>540</v>
      </c>
      <c r="C33" s="6"/>
      <c r="D33" s="6"/>
      <c r="E33" s="6"/>
      <c r="F33" s="6"/>
      <c r="G33" s="28"/>
      <c r="H33" s="28"/>
      <c r="I33" s="6"/>
    </row>
    <row r="34" customFormat="false" ht="15" hidden="false" customHeight="false" outlineLevel="0" collapsed="false">
      <c r="A34" s="12" t="s">
        <v>559</v>
      </c>
      <c r="B34" s="27" t="s">
        <v>540</v>
      </c>
      <c r="C34" s="6"/>
      <c r="D34" s="6"/>
      <c r="E34" s="6"/>
      <c r="F34" s="6"/>
      <c r="G34" s="28"/>
      <c r="H34" s="28"/>
      <c r="I34" s="6"/>
    </row>
    <row r="35" customFormat="false" ht="15" hidden="false" customHeight="false" outlineLevel="0" collapsed="false">
      <c r="A35" s="12" t="s">
        <v>560</v>
      </c>
      <c r="B35" s="27" t="s">
        <v>540</v>
      </c>
      <c r="C35" s="6"/>
      <c r="D35" s="6"/>
      <c r="E35" s="6"/>
      <c r="F35" s="6"/>
      <c r="G35" s="28"/>
      <c r="H35" s="28"/>
      <c r="I35" s="6"/>
    </row>
    <row r="36" customFormat="false" ht="15" hidden="false" customHeight="false" outlineLevel="0" collapsed="false">
      <c r="A36" s="12" t="s">
        <v>561</v>
      </c>
      <c r="B36" s="27" t="s">
        <v>540</v>
      </c>
      <c r="C36" s="6"/>
      <c r="D36" s="6"/>
      <c r="E36" s="6"/>
      <c r="F36" s="6"/>
      <c r="G36" s="28"/>
      <c r="H36" s="28"/>
      <c r="I36" s="6"/>
    </row>
    <row r="37" customFormat="false" ht="15" hidden="false" customHeight="false" outlineLevel="0" collapsed="false">
      <c r="A37" s="12" t="s">
        <v>562</v>
      </c>
      <c r="B37" s="27" t="s">
        <v>540</v>
      </c>
      <c r="C37" s="6"/>
      <c r="D37" s="6"/>
      <c r="E37" s="6"/>
      <c r="F37" s="6"/>
      <c r="G37" s="28"/>
      <c r="H37" s="28"/>
      <c r="I37" s="6"/>
    </row>
    <row r="38" customFormat="false" ht="15" hidden="false" customHeight="false" outlineLevel="0" collapsed="false">
      <c r="A38" s="12" t="s">
        <v>563</v>
      </c>
      <c r="B38" s="27" t="s">
        <v>540</v>
      </c>
      <c r="C38" s="6"/>
      <c r="D38" s="6"/>
      <c r="E38" s="6"/>
      <c r="F38" s="6"/>
      <c r="G38" s="28"/>
      <c r="H38" s="28"/>
      <c r="I38" s="6"/>
    </row>
    <row r="39" customFormat="false" ht="15" hidden="false" customHeight="false" outlineLevel="0" collapsed="false">
      <c r="A39" s="12" t="s">
        <v>564</v>
      </c>
      <c r="B39" s="27" t="s">
        <v>540</v>
      </c>
      <c r="C39" s="6"/>
      <c r="D39" s="6"/>
      <c r="E39" s="6"/>
      <c r="F39" s="6"/>
      <c r="G39" s="28"/>
      <c r="H39" s="28"/>
      <c r="I39" s="6"/>
    </row>
    <row r="40" customFormat="false" ht="15" hidden="false" customHeight="false" outlineLevel="0" collapsed="false">
      <c r="A40" s="12" t="s">
        <v>565</v>
      </c>
      <c r="B40" s="27" t="s">
        <v>540</v>
      </c>
      <c r="C40" s="6"/>
      <c r="D40" s="6"/>
      <c r="E40" s="6"/>
      <c r="F40" s="6"/>
      <c r="G40" s="28"/>
      <c r="H40" s="28"/>
      <c r="I40" s="6"/>
    </row>
    <row r="41" customFormat="false" ht="15" hidden="false" customHeight="false" outlineLevel="0" collapsed="false">
      <c r="A41" s="12" t="s">
        <v>566</v>
      </c>
      <c r="B41" s="27" t="s">
        <v>540</v>
      </c>
      <c r="C41" s="6"/>
      <c r="D41" s="6"/>
      <c r="E41" s="6"/>
      <c r="F41" s="6"/>
      <c r="G41" s="28"/>
      <c r="H41" s="28"/>
      <c r="I41" s="6"/>
    </row>
    <row r="42" customFormat="false" ht="15" hidden="false" customHeight="false" outlineLevel="0" collapsed="false">
      <c r="A42" s="12" t="s">
        <v>567</v>
      </c>
      <c r="B42" s="27" t="s">
        <v>540</v>
      </c>
      <c r="C42" s="6"/>
      <c r="D42" s="6"/>
      <c r="E42" s="6"/>
      <c r="F42" s="6"/>
      <c r="G42" s="28"/>
      <c r="H42" s="28"/>
      <c r="I42" s="6"/>
    </row>
    <row r="43" customFormat="false" ht="15" hidden="false" customHeight="false" outlineLevel="0" collapsed="false">
      <c r="A43" s="12" t="s">
        <v>568</v>
      </c>
      <c r="B43" s="27" t="s">
        <v>540</v>
      </c>
      <c r="C43" s="6"/>
      <c r="D43" s="6"/>
      <c r="E43" s="6"/>
      <c r="F43" s="6"/>
      <c r="G43" s="28"/>
      <c r="H43" s="28"/>
      <c r="I43" s="6"/>
    </row>
    <row r="44" customFormat="false" ht="15" hidden="false" customHeight="false" outlineLevel="0" collapsed="false">
      <c r="A44" s="12" t="s">
        <v>569</v>
      </c>
      <c r="B44" s="27" t="s">
        <v>540</v>
      </c>
      <c r="C44" s="6"/>
      <c r="D44" s="6"/>
      <c r="E44" s="6"/>
      <c r="F44" s="6"/>
      <c r="G44" s="28"/>
      <c r="H44" s="28"/>
      <c r="I44" s="6"/>
    </row>
    <row r="45" customFormat="false" ht="15" hidden="false" customHeight="false" outlineLevel="0" collapsed="false">
      <c r="A45" s="12" t="s">
        <v>570</v>
      </c>
      <c r="B45" s="27" t="s">
        <v>540</v>
      </c>
      <c r="C45" s="6"/>
      <c r="D45" s="6"/>
      <c r="E45" s="6"/>
      <c r="F45" s="6"/>
      <c r="G45" s="28"/>
      <c r="H45" s="28"/>
      <c r="I45" s="6"/>
    </row>
    <row r="46" customFormat="false" ht="15" hidden="false" customHeight="false" outlineLevel="0" collapsed="false">
      <c r="A46" s="12" t="s">
        <v>571</v>
      </c>
      <c r="B46" s="27" t="s">
        <v>540</v>
      </c>
      <c r="C46" s="6"/>
      <c r="D46" s="6"/>
      <c r="E46" s="6"/>
      <c r="F46" s="6"/>
      <c r="G46" s="28"/>
      <c r="H46" s="28"/>
      <c r="I46" s="6"/>
    </row>
    <row r="47" customFormat="false" ht="15" hidden="false" customHeight="false" outlineLevel="0" collapsed="false">
      <c r="A47" s="12" t="s">
        <v>572</v>
      </c>
      <c r="B47" s="27" t="s">
        <v>540</v>
      </c>
      <c r="C47" s="6"/>
      <c r="D47" s="6"/>
      <c r="E47" s="6"/>
      <c r="F47" s="6"/>
      <c r="G47" s="28"/>
      <c r="H47" s="28"/>
      <c r="I47" s="6"/>
    </row>
    <row r="48" customFormat="false" ht="15" hidden="false" customHeight="false" outlineLevel="0" collapsed="false">
      <c r="A48" s="12" t="s">
        <v>573</v>
      </c>
      <c r="B48" s="27" t="s">
        <v>540</v>
      </c>
      <c r="C48" s="6"/>
      <c r="D48" s="6"/>
      <c r="E48" s="6"/>
      <c r="F48" s="6"/>
      <c r="G48" s="28"/>
      <c r="H48" s="28"/>
      <c r="I48" s="6"/>
    </row>
    <row r="49" customFormat="false" ht="15" hidden="false" customHeight="false" outlineLevel="0" collapsed="false">
      <c r="A49" s="12" t="s">
        <v>574</v>
      </c>
      <c r="B49" s="27" t="s">
        <v>540</v>
      </c>
      <c r="C49" s="6"/>
      <c r="D49" s="6"/>
      <c r="E49" s="6"/>
      <c r="F49" s="6"/>
      <c r="G49" s="28"/>
      <c r="H49" s="28"/>
      <c r="I49" s="6"/>
    </row>
    <row r="50" customFormat="false" ht="15" hidden="false" customHeight="false" outlineLevel="0" collapsed="false">
      <c r="A50" s="12" t="s">
        <v>575</v>
      </c>
      <c r="B50" s="27" t="s">
        <v>540</v>
      </c>
      <c r="C50" s="6"/>
      <c r="D50" s="6"/>
      <c r="E50" s="6"/>
      <c r="F50" s="6"/>
      <c r="G50" s="28"/>
      <c r="H50" s="28"/>
      <c r="I50" s="6"/>
    </row>
    <row r="51" customFormat="false" ht="15" hidden="false" customHeight="false" outlineLevel="0" collapsed="false">
      <c r="A51" s="12" t="s">
        <v>576</v>
      </c>
      <c r="B51" s="27" t="s">
        <v>540</v>
      </c>
      <c r="C51" s="6"/>
      <c r="D51" s="6"/>
      <c r="E51" s="6"/>
      <c r="F51" s="6"/>
      <c r="G51" s="28"/>
      <c r="H51" s="28"/>
      <c r="I51" s="6"/>
    </row>
    <row r="52" customFormat="false" ht="15" hidden="false" customHeight="false" outlineLevel="0" collapsed="false">
      <c r="A52" s="12" t="s">
        <v>577</v>
      </c>
      <c r="B52" s="27" t="s">
        <v>540</v>
      </c>
      <c r="C52" s="6"/>
      <c r="D52" s="6"/>
      <c r="E52" s="6"/>
      <c r="F52" s="6"/>
      <c r="G52" s="28"/>
      <c r="H52" s="28"/>
      <c r="I52" s="6"/>
    </row>
    <row r="53" customFormat="false" ht="15" hidden="false" customHeight="false" outlineLevel="0" collapsed="false">
      <c r="A53" s="12" t="s">
        <v>578</v>
      </c>
      <c r="B53" s="27" t="s">
        <v>540</v>
      </c>
      <c r="C53" s="6"/>
      <c r="D53" s="6"/>
      <c r="E53" s="6"/>
      <c r="F53" s="6"/>
      <c r="G53" s="28"/>
      <c r="H53" s="28"/>
      <c r="I53" s="6"/>
    </row>
    <row r="54" customFormat="false" ht="15" hidden="false" customHeight="false" outlineLevel="0" collapsed="false">
      <c r="A54" s="12" t="s">
        <v>579</v>
      </c>
      <c r="B54" s="27" t="s">
        <v>540</v>
      </c>
      <c r="C54" s="6"/>
      <c r="D54" s="6"/>
      <c r="E54" s="6"/>
      <c r="F54" s="6"/>
      <c r="G54" s="28"/>
      <c r="H54" s="28"/>
      <c r="I54" s="6"/>
    </row>
    <row r="55" customFormat="false" ht="15" hidden="false" customHeight="false" outlineLevel="0" collapsed="false">
      <c r="A55" s="12" t="s">
        <v>580</v>
      </c>
      <c r="B55" s="27" t="s">
        <v>540</v>
      </c>
      <c r="C55" s="6"/>
      <c r="D55" s="6"/>
      <c r="E55" s="6"/>
      <c r="F55" s="6"/>
      <c r="G55" s="28"/>
      <c r="H55" s="28"/>
      <c r="I55" s="6"/>
    </row>
    <row r="56" customFormat="false" ht="15" hidden="false" customHeight="false" outlineLevel="0" collapsed="false">
      <c r="A56" s="12" t="s">
        <v>581</v>
      </c>
      <c r="B56" s="27" t="s">
        <v>540</v>
      </c>
      <c r="C56" s="6"/>
      <c r="D56" s="6"/>
      <c r="E56" s="6"/>
      <c r="F56" s="6"/>
      <c r="G56" s="28"/>
      <c r="H56" s="28"/>
      <c r="I56" s="6"/>
    </row>
    <row r="57" customFormat="false" ht="15" hidden="false" customHeight="false" outlineLevel="0" collapsed="false">
      <c r="A57" s="12" t="s">
        <v>582</v>
      </c>
      <c r="B57" s="27" t="s">
        <v>540</v>
      </c>
      <c r="C57" s="6"/>
      <c r="D57" s="6"/>
      <c r="E57" s="6"/>
      <c r="F57" s="6"/>
      <c r="G57" s="28"/>
      <c r="H57" s="28"/>
      <c r="I57" s="6"/>
    </row>
    <row r="58" customFormat="false" ht="15" hidden="false" customHeight="false" outlineLevel="0" collapsed="false">
      <c r="A58" s="12" t="s">
        <v>583</v>
      </c>
      <c r="B58" s="27" t="s">
        <v>540</v>
      </c>
      <c r="C58" s="6"/>
      <c r="D58" s="6"/>
      <c r="E58" s="6"/>
      <c r="F58" s="6"/>
      <c r="G58" s="28"/>
      <c r="H58" s="28"/>
      <c r="I58" s="6"/>
    </row>
    <row r="59" customFormat="false" ht="15" hidden="false" customHeight="false" outlineLevel="0" collapsed="false">
      <c r="A59" s="12" t="s">
        <v>584</v>
      </c>
      <c r="B59" s="27" t="s">
        <v>540</v>
      </c>
      <c r="C59" s="6"/>
      <c r="D59" s="6"/>
      <c r="E59" s="6"/>
      <c r="F59" s="6"/>
      <c r="G59" s="28"/>
      <c r="H59" s="28"/>
      <c r="I59" s="6"/>
    </row>
    <row r="60" customFormat="false" ht="15" hidden="false" customHeight="false" outlineLevel="0" collapsed="false">
      <c r="A60" s="12" t="s">
        <v>585</v>
      </c>
      <c r="B60" s="27" t="s">
        <v>540</v>
      </c>
      <c r="C60" s="6"/>
      <c r="D60" s="6"/>
      <c r="E60" s="6"/>
      <c r="F60" s="6"/>
      <c r="G60" s="28"/>
      <c r="H60" s="28"/>
      <c r="I60" s="6"/>
    </row>
    <row r="61" customFormat="false" ht="15" hidden="false" customHeight="false" outlineLevel="0" collapsed="false">
      <c r="A61" s="12" t="s">
        <v>586</v>
      </c>
      <c r="B61" s="27" t="s">
        <v>540</v>
      </c>
      <c r="C61" s="6"/>
      <c r="D61" s="6"/>
      <c r="E61" s="6"/>
      <c r="F61" s="6"/>
      <c r="G61" s="28"/>
      <c r="H61" s="28"/>
      <c r="I61" s="6"/>
    </row>
    <row r="62" customFormat="false" ht="15" hidden="false" customHeight="false" outlineLevel="0" collapsed="false">
      <c r="A62" s="12" t="s">
        <v>587</v>
      </c>
      <c r="B62" s="27" t="s">
        <v>540</v>
      </c>
      <c r="C62" s="6"/>
      <c r="D62" s="6"/>
      <c r="E62" s="6"/>
      <c r="F62" s="6"/>
      <c r="G62" s="28"/>
      <c r="H62" s="28"/>
      <c r="I62" s="6"/>
    </row>
    <row r="63" customFormat="false" ht="15" hidden="false" customHeight="false" outlineLevel="0" collapsed="false">
      <c r="A63" s="12" t="s">
        <v>588</v>
      </c>
      <c r="B63" s="27" t="s">
        <v>540</v>
      </c>
      <c r="C63" s="6"/>
      <c r="D63" s="6"/>
      <c r="E63" s="6"/>
      <c r="F63" s="6"/>
      <c r="G63" s="28"/>
      <c r="H63" s="28"/>
      <c r="I63" s="6"/>
    </row>
    <row r="64" customFormat="false" ht="15" hidden="false" customHeight="false" outlineLevel="0" collapsed="false">
      <c r="A64" s="12" t="s">
        <v>589</v>
      </c>
      <c r="B64" s="27" t="s">
        <v>540</v>
      </c>
      <c r="C64" s="6"/>
      <c r="D64" s="6"/>
      <c r="E64" s="6"/>
      <c r="F64" s="6"/>
      <c r="G64" s="28"/>
      <c r="H64" s="28"/>
      <c r="I64" s="6"/>
    </row>
  </sheetData>
  <conditionalFormatting sqref="G5:G64">
    <cfRule type="cellIs" priority="2" operator="equal" aboveAverage="0" equalAverage="0" bottom="0" percent="0" rank="0" text="" dxfId="0">
      <formula>"○"</formula>
    </cfRule>
    <cfRule type="cellIs" priority="3" operator="equal" aboveAverage="0" equalAverage="0" bottom="0" percent="0" rank="0" text="" dxfId="1">
      <formula>"×"</formula>
    </cfRule>
  </conditionalFormatting>
  <dataValidations count="2">
    <dataValidation allowBlank="true" errorStyle="stop" operator="between" showDropDown="false" showErrorMessage="false" showInputMessage="false" sqref="G5:G64" type="list">
      <formula1>"○,△,×"</formula1>
      <formula2>0</formula2>
    </dataValidation>
    <dataValidation allowBlank="true" errorStyle="stop" operator="between" showDropDown="false" showErrorMessage="false" showInputMessage="false" sqref="H5:H64" type="list">
      <formula1>"○,×,対象外"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2C6"/>
    <pageSetUpPr fitToPage="tru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8" min="7" style="0" width="13"/>
    <col collapsed="false" customWidth="true" hidden="false" outlineLevel="0" max="9" min="9" style="0" width="11"/>
    <col collapsed="false" customWidth="true" hidden="false" outlineLevel="0" max="11" min="10" style="0" width="34"/>
  </cols>
  <sheetData>
    <row r="1" customFormat="false" ht="19.7" hidden="false" customHeight="false" outlineLevel="0" collapsed="false">
      <c r="A1" s="1" t="s">
        <v>590</v>
      </c>
    </row>
    <row r="2" customFormat="false" ht="15" hidden="false" customHeight="false" outlineLevel="0" collapsed="false">
      <c r="A2" s="8" t="s">
        <v>591</v>
      </c>
    </row>
    <row r="4" customFormat="false" ht="26.85" hidden="false" customHeight="false" outlineLevel="0" collapsed="false">
      <c r="A4" s="10" t="s">
        <v>86</v>
      </c>
      <c r="B4" s="9" t="s">
        <v>592</v>
      </c>
      <c r="C4" s="9" t="s">
        <v>593</v>
      </c>
      <c r="D4" s="9" t="s">
        <v>594</v>
      </c>
      <c r="E4" s="9" t="s">
        <v>595</v>
      </c>
      <c r="F4" s="9" t="s">
        <v>596</v>
      </c>
      <c r="G4" s="9" t="s">
        <v>597</v>
      </c>
      <c r="H4" s="9" t="s">
        <v>598</v>
      </c>
      <c r="I4" s="9" t="s">
        <v>599</v>
      </c>
      <c r="J4" s="9" t="s">
        <v>600</v>
      </c>
      <c r="K4" s="9" t="s">
        <v>601</v>
      </c>
    </row>
    <row r="5" customFormat="false" ht="15" hidden="false" customHeight="false" outlineLevel="0" collapsed="false">
      <c r="A5" s="27" t="n">
        <v>1</v>
      </c>
      <c r="B5" s="28"/>
      <c r="C5" s="28"/>
      <c r="D5" s="28"/>
      <c r="E5" s="28"/>
      <c r="F5" s="28"/>
      <c r="G5" s="27" t="str">
        <f aca="false">IF(OR(E5="",F5=""),"",E5-F5)</f>
        <v/>
      </c>
      <c r="H5" s="27" t="str">
        <f aca="false">IF(OR(D5="",G5=""),"",D5*G5)</f>
        <v/>
      </c>
      <c r="I5" s="28"/>
      <c r="J5" s="6"/>
      <c r="K5" s="6"/>
    </row>
    <row r="6" customFormat="false" ht="15" hidden="false" customHeight="false" outlineLevel="0" collapsed="false">
      <c r="A6" s="27" t="n">
        <v>2</v>
      </c>
      <c r="B6" s="28"/>
      <c r="C6" s="28"/>
      <c r="D6" s="28"/>
      <c r="E6" s="28"/>
      <c r="F6" s="28"/>
      <c r="G6" s="27" t="str">
        <f aca="false">IF(OR(E6="",F6=""),"",E6-F6)</f>
        <v/>
      </c>
      <c r="H6" s="27" t="str">
        <f aca="false">IF(OR(D6="",G6=""),"",D6*G6)</f>
        <v/>
      </c>
      <c r="I6" s="28"/>
      <c r="J6" s="6"/>
      <c r="K6" s="6"/>
    </row>
    <row r="7" customFormat="false" ht="15" hidden="false" customHeight="false" outlineLevel="0" collapsed="false">
      <c r="A7" s="27" t="n">
        <v>3</v>
      </c>
      <c r="B7" s="28"/>
      <c r="C7" s="28"/>
      <c r="D7" s="28"/>
      <c r="E7" s="28"/>
      <c r="F7" s="28"/>
      <c r="G7" s="27" t="str">
        <f aca="false">IF(OR(E7="",F7=""),"",E7-F7)</f>
        <v/>
      </c>
      <c r="H7" s="27" t="str">
        <f aca="false">IF(OR(D7="",G7=""),"",D7*G7)</f>
        <v/>
      </c>
      <c r="I7" s="28"/>
      <c r="J7" s="6"/>
      <c r="K7" s="6"/>
    </row>
    <row r="8" customFormat="false" ht="15" hidden="false" customHeight="false" outlineLevel="0" collapsed="false">
      <c r="A8" s="27" t="n">
        <v>4</v>
      </c>
      <c r="B8" s="28"/>
      <c r="C8" s="28"/>
      <c r="D8" s="28"/>
      <c r="E8" s="28"/>
      <c r="F8" s="28"/>
      <c r="G8" s="27" t="str">
        <f aca="false">IF(OR(E8="",F8=""),"",E8-F8)</f>
        <v/>
      </c>
      <c r="H8" s="27" t="str">
        <f aca="false">IF(OR(D8="",G8=""),"",D8*G8)</f>
        <v/>
      </c>
      <c r="I8" s="28"/>
      <c r="J8" s="6"/>
      <c r="K8" s="6"/>
    </row>
    <row r="9" customFormat="false" ht="15" hidden="false" customHeight="false" outlineLevel="0" collapsed="false">
      <c r="A9" s="27" t="n">
        <v>5</v>
      </c>
      <c r="B9" s="28"/>
      <c r="C9" s="28"/>
      <c r="D9" s="28"/>
      <c r="E9" s="28"/>
      <c r="F9" s="28"/>
      <c r="G9" s="27" t="str">
        <f aca="false">IF(OR(E9="",F9=""),"",E9-F9)</f>
        <v/>
      </c>
      <c r="H9" s="27" t="str">
        <f aca="false">IF(OR(D9="",G9=""),"",D9*G9)</f>
        <v/>
      </c>
      <c r="I9" s="28"/>
      <c r="J9" s="6"/>
      <c r="K9" s="6"/>
    </row>
    <row r="10" customFormat="false" ht="15" hidden="false" customHeight="false" outlineLevel="0" collapsed="false">
      <c r="A10" s="27" t="n">
        <v>6</v>
      </c>
      <c r="B10" s="28"/>
      <c r="C10" s="28"/>
      <c r="D10" s="28"/>
      <c r="E10" s="28"/>
      <c r="F10" s="28"/>
      <c r="G10" s="27" t="str">
        <f aca="false">IF(OR(E10="",F10=""),"",E10-F10)</f>
        <v/>
      </c>
      <c r="H10" s="27" t="str">
        <f aca="false">IF(OR(D10="",G10=""),"",D10*G10)</f>
        <v/>
      </c>
      <c r="I10" s="28"/>
      <c r="J10" s="6"/>
      <c r="K10" s="6"/>
    </row>
    <row r="11" customFormat="false" ht="15" hidden="false" customHeight="false" outlineLevel="0" collapsed="false">
      <c r="A11" s="27" t="n">
        <v>7</v>
      </c>
      <c r="B11" s="28"/>
      <c r="C11" s="28"/>
      <c r="D11" s="28"/>
      <c r="E11" s="28"/>
      <c r="F11" s="28"/>
      <c r="G11" s="27" t="str">
        <f aca="false">IF(OR(E11="",F11=""),"",E11-F11)</f>
        <v/>
      </c>
      <c r="H11" s="27" t="str">
        <f aca="false">IF(OR(D11="",G11=""),"",D11*G11)</f>
        <v/>
      </c>
      <c r="I11" s="28"/>
      <c r="J11" s="6"/>
      <c r="K11" s="6"/>
    </row>
    <row r="12" customFormat="false" ht="15" hidden="false" customHeight="false" outlineLevel="0" collapsed="false">
      <c r="A12" s="27" t="n">
        <v>8</v>
      </c>
      <c r="B12" s="28"/>
      <c r="C12" s="28"/>
      <c r="D12" s="28"/>
      <c r="E12" s="28"/>
      <c r="F12" s="28"/>
      <c r="G12" s="27" t="str">
        <f aca="false">IF(OR(E12="",F12=""),"",E12-F12)</f>
        <v/>
      </c>
      <c r="H12" s="27" t="str">
        <f aca="false">IF(OR(D12="",G12=""),"",D12*G12)</f>
        <v/>
      </c>
      <c r="I12" s="28"/>
      <c r="J12" s="6"/>
      <c r="K12" s="6"/>
    </row>
    <row r="13" customFormat="false" ht="15" hidden="false" customHeight="false" outlineLevel="0" collapsed="false">
      <c r="A13" s="27" t="n">
        <v>9</v>
      </c>
      <c r="B13" s="28"/>
      <c r="C13" s="28"/>
      <c r="D13" s="28"/>
      <c r="E13" s="28"/>
      <c r="F13" s="28"/>
      <c r="G13" s="27" t="str">
        <f aca="false">IF(OR(E13="",F13=""),"",E13-F13)</f>
        <v/>
      </c>
      <c r="H13" s="27" t="str">
        <f aca="false">IF(OR(D13="",G13=""),"",D13*G13)</f>
        <v/>
      </c>
      <c r="I13" s="28"/>
      <c r="J13" s="6"/>
      <c r="K13" s="6"/>
    </row>
    <row r="14" customFormat="false" ht="15" hidden="false" customHeight="false" outlineLevel="0" collapsed="false">
      <c r="A14" s="27" t="n">
        <v>10</v>
      </c>
      <c r="B14" s="28"/>
      <c r="C14" s="28"/>
      <c r="D14" s="28"/>
      <c r="E14" s="28"/>
      <c r="F14" s="28"/>
      <c r="G14" s="27" t="str">
        <f aca="false">IF(OR(E14="",F14=""),"",E14-F14)</f>
        <v/>
      </c>
      <c r="H14" s="27" t="str">
        <f aca="false">IF(OR(D14="",G14=""),"",D14*G14)</f>
        <v/>
      </c>
      <c r="I14" s="28"/>
      <c r="J14" s="6"/>
      <c r="K14" s="6"/>
    </row>
    <row r="15" customFormat="false" ht="15" hidden="false" customHeight="false" outlineLevel="0" collapsed="false">
      <c r="A15" s="27" t="n">
        <v>11</v>
      </c>
      <c r="B15" s="28"/>
      <c r="C15" s="28"/>
      <c r="D15" s="28"/>
      <c r="E15" s="28"/>
      <c r="F15" s="28"/>
      <c r="G15" s="27" t="str">
        <f aca="false">IF(OR(E15="",F15=""),"",E15-F15)</f>
        <v/>
      </c>
      <c r="H15" s="27" t="str">
        <f aca="false">IF(OR(D15="",G15=""),"",D15*G15)</f>
        <v/>
      </c>
      <c r="I15" s="28"/>
      <c r="J15" s="6"/>
      <c r="K15" s="6"/>
    </row>
    <row r="16" customFormat="false" ht="15" hidden="false" customHeight="false" outlineLevel="0" collapsed="false">
      <c r="A16" s="27" t="n">
        <v>12</v>
      </c>
      <c r="B16" s="28"/>
      <c r="C16" s="28"/>
      <c r="D16" s="28"/>
      <c r="E16" s="28"/>
      <c r="F16" s="28"/>
      <c r="G16" s="27" t="str">
        <f aca="false">IF(OR(E16="",F16=""),"",E16-F16)</f>
        <v/>
      </c>
      <c r="H16" s="27" t="str">
        <f aca="false">IF(OR(D16="",G16=""),"",D16*G16)</f>
        <v/>
      </c>
      <c r="I16" s="28"/>
      <c r="J16" s="6"/>
      <c r="K16" s="6"/>
    </row>
    <row r="17" customFormat="false" ht="15" hidden="false" customHeight="false" outlineLevel="0" collapsed="false">
      <c r="A17" s="27" t="n">
        <v>13</v>
      </c>
      <c r="B17" s="28"/>
      <c r="C17" s="28"/>
      <c r="D17" s="28"/>
      <c r="E17" s="28"/>
      <c r="F17" s="28"/>
      <c r="G17" s="27" t="str">
        <f aca="false">IF(OR(E17="",F17=""),"",E17-F17)</f>
        <v/>
      </c>
      <c r="H17" s="27" t="str">
        <f aca="false">IF(OR(D17="",G17=""),"",D17*G17)</f>
        <v/>
      </c>
      <c r="I17" s="28"/>
      <c r="J17" s="6"/>
      <c r="K17" s="6"/>
    </row>
    <row r="18" customFormat="false" ht="15" hidden="false" customHeight="false" outlineLevel="0" collapsed="false">
      <c r="A18" s="27" t="n">
        <v>14</v>
      </c>
      <c r="B18" s="28"/>
      <c r="C18" s="28"/>
      <c r="D18" s="28"/>
      <c r="E18" s="28"/>
      <c r="F18" s="28"/>
      <c r="G18" s="27" t="str">
        <f aca="false">IF(OR(E18="",F18=""),"",E18-F18)</f>
        <v/>
      </c>
      <c r="H18" s="27" t="str">
        <f aca="false">IF(OR(D18="",G18=""),"",D18*G18)</f>
        <v/>
      </c>
      <c r="I18" s="28"/>
      <c r="J18" s="6"/>
      <c r="K18" s="6"/>
    </row>
    <row r="19" customFormat="false" ht="15" hidden="false" customHeight="false" outlineLevel="0" collapsed="false">
      <c r="A19" s="27" t="n">
        <v>15</v>
      </c>
      <c r="B19" s="28"/>
      <c r="C19" s="28"/>
      <c r="D19" s="28"/>
      <c r="E19" s="28"/>
      <c r="F19" s="28"/>
      <c r="G19" s="27" t="str">
        <f aca="false">IF(OR(E19="",F19=""),"",E19-F19)</f>
        <v/>
      </c>
      <c r="H19" s="27" t="str">
        <f aca="false">IF(OR(D19="",G19=""),"",D19*G19)</f>
        <v/>
      </c>
      <c r="I19" s="28"/>
      <c r="J19" s="6"/>
      <c r="K19" s="6"/>
    </row>
    <row r="20" customFormat="false" ht="15" hidden="false" customHeight="false" outlineLevel="0" collapsed="false">
      <c r="A20" s="27" t="n">
        <v>16</v>
      </c>
      <c r="B20" s="28"/>
      <c r="C20" s="28"/>
      <c r="D20" s="28"/>
      <c r="E20" s="28"/>
      <c r="F20" s="28"/>
      <c r="G20" s="27" t="str">
        <f aca="false">IF(OR(E20="",F20=""),"",E20-F20)</f>
        <v/>
      </c>
      <c r="H20" s="27" t="str">
        <f aca="false">IF(OR(D20="",G20=""),"",D20*G20)</f>
        <v/>
      </c>
      <c r="I20" s="28"/>
      <c r="J20" s="6"/>
      <c r="K20" s="6"/>
    </row>
    <row r="21" customFormat="false" ht="15" hidden="false" customHeight="false" outlineLevel="0" collapsed="false">
      <c r="A21" s="27" t="n">
        <v>17</v>
      </c>
      <c r="B21" s="28"/>
      <c r="C21" s="28"/>
      <c r="D21" s="28"/>
      <c r="E21" s="28"/>
      <c r="F21" s="28"/>
      <c r="G21" s="27" t="str">
        <f aca="false">IF(OR(E21="",F21=""),"",E21-F21)</f>
        <v/>
      </c>
      <c r="H21" s="27" t="str">
        <f aca="false">IF(OR(D21="",G21=""),"",D21*G21)</f>
        <v/>
      </c>
      <c r="I21" s="28"/>
      <c r="J21" s="6"/>
      <c r="K21" s="6"/>
    </row>
    <row r="22" customFormat="false" ht="15" hidden="false" customHeight="false" outlineLevel="0" collapsed="false">
      <c r="A22" s="27" t="n">
        <v>18</v>
      </c>
      <c r="B22" s="28"/>
      <c r="C22" s="28"/>
      <c r="D22" s="28"/>
      <c r="E22" s="28"/>
      <c r="F22" s="28"/>
      <c r="G22" s="27" t="str">
        <f aca="false">IF(OR(E22="",F22=""),"",E22-F22)</f>
        <v/>
      </c>
      <c r="H22" s="27" t="str">
        <f aca="false">IF(OR(D22="",G22=""),"",D22*G22)</f>
        <v/>
      </c>
      <c r="I22" s="28"/>
      <c r="J22" s="6"/>
      <c r="K22" s="6"/>
    </row>
    <row r="23" customFormat="false" ht="15" hidden="false" customHeight="false" outlineLevel="0" collapsed="false">
      <c r="A23" s="27" t="n">
        <v>19</v>
      </c>
      <c r="B23" s="28"/>
      <c r="C23" s="28"/>
      <c r="D23" s="28"/>
      <c r="E23" s="28"/>
      <c r="F23" s="28"/>
      <c r="G23" s="27" t="str">
        <f aca="false">IF(OR(E23="",F23=""),"",E23-F23)</f>
        <v/>
      </c>
      <c r="H23" s="27" t="str">
        <f aca="false">IF(OR(D23="",G23=""),"",D23*G23)</f>
        <v/>
      </c>
      <c r="I23" s="28"/>
      <c r="J23" s="6"/>
      <c r="K23" s="6"/>
    </row>
    <row r="24" customFormat="false" ht="15" hidden="false" customHeight="false" outlineLevel="0" collapsed="false">
      <c r="A24" s="27" t="n">
        <v>20</v>
      </c>
      <c r="B24" s="28"/>
      <c r="C24" s="28"/>
      <c r="D24" s="28"/>
      <c r="E24" s="28"/>
      <c r="F24" s="28"/>
      <c r="G24" s="27" t="str">
        <f aca="false">IF(OR(E24="",F24=""),"",E24-F24)</f>
        <v/>
      </c>
      <c r="H24" s="27" t="str">
        <f aca="false">IF(OR(D24="",G24=""),"",D24*G24)</f>
        <v/>
      </c>
      <c r="I24" s="28"/>
      <c r="J24" s="6"/>
      <c r="K24" s="6"/>
    </row>
    <row r="26" customFormat="false" ht="15" hidden="false" customHeight="false" outlineLevel="0" collapsed="false">
      <c r="A26" s="34" t="s">
        <v>602</v>
      </c>
      <c r="B26" s="34"/>
      <c r="C26" s="34"/>
      <c r="D26" s="15" t="n">
        <f aca="false">SUM(D5:D24)</f>
        <v>0</v>
      </c>
      <c r="E26" s="35" t="str">
        <f aca="false">IFERROR(AVERAGE(E5:E24),"")</f>
        <v/>
      </c>
      <c r="F26" s="35" t="str">
        <f aca="false">IFERROR(AVERAGE(F5:F24),"")</f>
        <v/>
      </c>
      <c r="G26" s="35" t="str">
        <f aca="false">IFERROR(AVERAGE(G5:G24),"")</f>
        <v/>
      </c>
      <c r="H26" s="15" t="n">
        <f aca="false">SUM(H5:H24)</f>
        <v>0</v>
      </c>
      <c r="I26" s="35" t="str">
        <f aca="false">IFERROR(AVERAGE(I5:I24),"")</f>
        <v/>
      </c>
    </row>
  </sheetData>
  <mergeCells count="1">
    <mergeCell ref="A26:C26"/>
  </mergeCells>
  <dataValidations count="2">
    <dataValidation allowBlank="true" errorStyle="stop" operator="between" showDropDown="false" showErrorMessage="false" showInputMessage="false" sqref="I5:I24" type="whole">
      <formula1>1</formula1>
      <formula2>5</formula2>
    </dataValidation>
    <dataValidation allowBlank="true" errorStyle="stop" operator="greaterThanOrEqual" showDropDown="false" showErrorMessage="false" showInputMessage="false" sqref="D5:F2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2C6"/>
    <pageSetUpPr fitToPage="true"/>
  </sheetPr>
  <dimension ref="A1:N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5" min="3" style="0" width="10"/>
    <col collapsed="false" customWidth="true" hidden="false" outlineLevel="0" max="7" min="6" style="0" width="36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4" min="14" style="0" width="60"/>
  </cols>
  <sheetData>
    <row r="1" customFormat="false" ht="19.7" hidden="false" customHeight="false" outlineLevel="0" collapsed="false">
      <c r="A1" s="1" t="s">
        <v>603</v>
      </c>
    </row>
    <row r="4" customFormat="false" ht="15" hidden="false" customHeight="false" outlineLevel="0" collapsed="false">
      <c r="A4" s="9" t="s">
        <v>604</v>
      </c>
      <c r="B4" s="9" t="s">
        <v>605</v>
      </c>
      <c r="C4" s="9" t="s">
        <v>606</v>
      </c>
      <c r="D4" s="9" t="s">
        <v>607</v>
      </c>
      <c r="E4" s="9" t="s">
        <v>608</v>
      </c>
      <c r="F4" s="9" t="s">
        <v>609</v>
      </c>
      <c r="G4" s="9" t="s">
        <v>610</v>
      </c>
      <c r="H4" s="9" t="s">
        <v>611</v>
      </c>
      <c r="I4" s="9" t="s">
        <v>612</v>
      </c>
      <c r="J4" s="9" t="s">
        <v>613</v>
      </c>
      <c r="K4" s="9" t="s">
        <v>614</v>
      </c>
      <c r="L4" s="9" t="s">
        <v>615</v>
      </c>
      <c r="N4" s="31" t="s">
        <v>616</v>
      </c>
    </row>
    <row r="5" customFormat="false" ht="15" hidden="false" customHeight="false" outlineLevel="0" collapsed="false">
      <c r="A5" s="12" t="s">
        <v>617</v>
      </c>
      <c r="B5" s="29"/>
      <c r="C5" s="28"/>
      <c r="D5" s="28"/>
      <c r="E5" s="28"/>
      <c r="F5" s="6"/>
      <c r="G5" s="6"/>
      <c r="H5" s="28"/>
      <c r="I5" s="28"/>
      <c r="J5" s="6"/>
      <c r="K5" s="29"/>
      <c r="L5" s="28"/>
      <c r="N5" s="32" t="s">
        <v>618</v>
      </c>
    </row>
    <row r="6" customFormat="false" ht="15" hidden="false" customHeight="false" outlineLevel="0" collapsed="false">
      <c r="A6" s="12" t="s">
        <v>619</v>
      </c>
      <c r="B6" s="29"/>
      <c r="C6" s="28"/>
      <c r="D6" s="28"/>
      <c r="E6" s="28"/>
      <c r="F6" s="6"/>
      <c r="G6" s="6"/>
      <c r="H6" s="28"/>
      <c r="I6" s="28"/>
      <c r="J6" s="6"/>
      <c r="K6" s="29"/>
      <c r="L6" s="28"/>
      <c r="N6" s="32" t="s">
        <v>620</v>
      </c>
    </row>
    <row r="7" customFormat="false" ht="15" hidden="false" customHeight="false" outlineLevel="0" collapsed="false">
      <c r="A7" s="12" t="s">
        <v>621</v>
      </c>
      <c r="B7" s="29"/>
      <c r="C7" s="28"/>
      <c r="D7" s="28"/>
      <c r="E7" s="28"/>
      <c r="F7" s="6"/>
      <c r="G7" s="6"/>
      <c r="H7" s="28"/>
      <c r="I7" s="28"/>
      <c r="J7" s="6"/>
      <c r="K7" s="29"/>
      <c r="L7" s="28"/>
      <c r="N7" s="32" t="s">
        <v>622</v>
      </c>
    </row>
    <row r="8" customFormat="false" ht="15" hidden="false" customHeight="false" outlineLevel="0" collapsed="false">
      <c r="A8" s="12" t="s">
        <v>623</v>
      </c>
      <c r="B8" s="29"/>
      <c r="C8" s="28"/>
      <c r="D8" s="28"/>
      <c r="E8" s="28"/>
      <c r="F8" s="6"/>
      <c r="G8" s="6"/>
      <c r="H8" s="28"/>
      <c r="I8" s="28"/>
      <c r="J8" s="6"/>
      <c r="K8" s="29"/>
      <c r="L8" s="28"/>
    </row>
    <row r="9" customFormat="false" ht="15" hidden="false" customHeight="false" outlineLevel="0" collapsed="false">
      <c r="A9" s="12" t="s">
        <v>624</v>
      </c>
      <c r="B9" s="29"/>
      <c r="C9" s="28"/>
      <c r="D9" s="28"/>
      <c r="E9" s="28"/>
      <c r="F9" s="6"/>
      <c r="G9" s="6"/>
      <c r="H9" s="28"/>
      <c r="I9" s="28"/>
      <c r="J9" s="6"/>
      <c r="K9" s="29"/>
      <c r="L9" s="28"/>
    </row>
    <row r="10" customFormat="false" ht="15" hidden="false" customHeight="false" outlineLevel="0" collapsed="false">
      <c r="A10" s="12" t="s">
        <v>625</v>
      </c>
      <c r="B10" s="29"/>
      <c r="C10" s="28"/>
      <c r="D10" s="28"/>
      <c r="E10" s="28"/>
      <c r="F10" s="6"/>
      <c r="G10" s="6"/>
      <c r="H10" s="28"/>
      <c r="I10" s="28"/>
      <c r="J10" s="6"/>
      <c r="K10" s="29"/>
      <c r="L10" s="28"/>
    </row>
    <row r="11" customFormat="false" ht="15" hidden="false" customHeight="false" outlineLevel="0" collapsed="false">
      <c r="A11" s="12" t="s">
        <v>626</v>
      </c>
      <c r="B11" s="29"/>
      <c r="C11" s="28"/>
      <c r="D11" s="28"/>
      <c r="E11" s="28"/>
      <c r="F11" s="6"/>
      <c r="G11" s="6"/>
      <c r="H11" s="28"/>
      <c r="I11" s="28"/>
      <c r="J11" s="6"/>
      <c r="K11" s="29"/>
      <c r="L11" s="28"/>
    </row>
    <row r="12" customFormat="false" ht="15" hidden="false" customHeight="false" outlineLevel="0" collapsed="false">
      <c r="A12" s="12" t="s">
        <v>627</v>
      </c>
      <c r="B12" s="29"/>
      <c r="C12" s="28"/>
      <c r="D12" s="28"/>
      <c r="E12" s="28"/>
      <c r="F12" s="6"/>
      <c r="G12" s="6"/>
      <c r="H12" s="28"/>
      <c r="I12" s="28"/>
      <c r="J12" s="6"/>
      <c r="K12" s="29"/>
      <c r="L12" s="28"/>
    </row>
    <row r="13" customFormat="false" ht="15" hidden="false" customHeight="false" outlineLevel="0" collapsed="false">
      <c r="A13" s="12" t="s">
        <v>628</v>
      </c>
      <c r="B13" s="29"/>
      <c r="C13" s="28"/>
      <c r="D13" s="28"/>
      <c r="E13" s="28"/>
      <c r="F13" s="6"/>
      <c r="G13" s="6"/>
      <c r="H13" s="28"/>
      <c r="I13" s="28"/>
      <c r="J13" s="6"/>
      <c r="K13" s="29"/>
      <c r="L13" s="28"/>
    </row>
    <row r="14" customFormat="false" ht="15" hidden="false" customHeight="false" outlineLevel="0" collapsed="false">
      <c r="A14" s="12" t="s">
        <v>629</v>
      </c>
      <c r="B14" s="29"/>
      <c r="C14" s="28"/>
      <c r="D14" s="28"/>
      <c r="E14" s="28"/>
      <c r="F14" s="6"/>
      <c r="G14" s="6"/>
      <c r="H14" s="28"/>
      <c r="I14" s="28"/>
      <c r="J14" s="6"/>
      <c r="K14" s="29"/>
      <c r="L14" s="28"/>
    </row>
    <row r="15" customFormat="false" ht="15" hidden="false" customHeight="false" outlineLevel="0" collapsed="false">
      <c r="A15" s="12" t="s">
        <v>630</v>
      </c>
      <c r="B15" s="29"/>
      <c r="C15" s="28"/>
      <c r="D15" s="28"/>
      <c r="E15" s="28"/>
      <c r="F15" s="6"/>
      <c r="G15" s="6"/>
      <c r="H15" s="28"/>
      <c r="I15" s="28"/>
      <c r="J15" s="6"/>
      <c r="K15" s="29"/>
      <c r="L15" s="28"/>
    </row>
    <row r="16" customFormat="false" ht="15" hidden="false" customHeight="false" outlineLevel="0" collapsed="false">
      <c r="A16" s="12" t="s">
        <v>631</v>
      </c>
      <c r="B16" s="29"/>
      <c r="C16" s="28"/>
      <c r="D16" s="28"/>
      <c r="E16" s="28"/>
      <c r="F16" s="6"/>
      <c r="G16" s="6"/>
      <c r="H16" s="28"/>
      <c r="I16" s="28"/>
      <c r="J16" s="6"/>
      <c r="K16" s="29"/>
      <c r="L16" s="28"/>
    </row>
    <row r="17" customFormat="false" ht="15" hidden="false" customHeight="false" outlineLevel="0" collapsed="false">
      <c r="A17" s="12" t="s">
        <v>632</v>
      </c>
      <c r="B17" s="29"/>
      <c r="C17" s="28"/>
      <c r="D17" s="28"/>
      <c r="E17" s="28"/>
      <c r="F17" s="6"/>
      <c r="G17" s="6"/>
      <c r="H17" s="28"/>
      <c r="I17" s="28"/>
      <c r="J17" s="6"/>
      <c r="K17" s="29"/>
      <c r="L17" s="28"/>
    </row>
    <row r="18" customFormat="false" ht="15" hidden="false" customHeight="false" outlineLevel="0" collapsed="false">
      <c r="A18" s="12" t="s">
        <v>633</v>
      </c>
      <c r="B18" s="29"/>
      <c r="C18" s="28"/>
      <c r="D18" s="28"/>
      <c r="E18" s="28"/>
      <c r="F18" s="6"/>
      <c r="G18" s="6"/>
      <c r="H18" s="28"/>
      <c r="I18" s="28"/>
      <c r="J18" s="6"/>
      <c r="K18" s="29"/>
      <c r="L18" s="28"/>
    </row>
    <row r="19" customFormat="false" ht="15" hidden="false" customHeight="false" outlineLevel="0" collapsed="false">
      <c r="A19" s="12" t="s">
        <v>634</v>
      </c>
      <c r="B19" s="29"/>
      <c r="C19" s="28"/>
      <c r="D19" s="28"/>
      <c r="E19" s="28"/>
      <c r="F19" s="6"/>
      <c r="G19" s="6"/>
      <c r="H19" s="28"/>
      <c r="I19" s="28"/>
      <c r="J19" s="6"/>
      <c r="K19" s="29"/>
      <c r="L19" s="28"/>
    </row>
    <row r="20" customFormat="false" ht="15" hidden="false" customHeight="false" outlineLevel="0" collapsed="false">
      <c r="A20" s="12" t="s">
        <v>635</v>
      </c>
      <c r="B20" s="29"/>
      <c r="C20" s="28"/>
      <c r="D20" s="28"/>
      <c r="E20" s="28"/>
      <c r="F20" s="6"/>
      <c r="G20" s="6"/>
      <c r="H20" s="28"/>
      <c r="I20" s="28"/>
      <c r="J20" s="6"/>
      <c r="K20" s="29"/>
      <c r="L20" s="28"/>
    </row>
    <row r="21" customFormat="false" ht="15" hidden="false" customHeight="false" outlineLevel="0" collapsed="false">
      <c r="A21" s="12" t="s">
        <v>636</v>
      </c>
      <c r="B21" s="29"/>
      <c r="C21" s="28"/>
      <c r="D21" s="28"/>
      <c r="E21" s="28"/>
      <c r="F21" s="6"/>
      <c r="G21" s="6"/>
      <c r="H21" s="28"/>
      <c r="I21" s="28"/>
      <c r="J21" s="6"/>
      <c r="K21" s="29"/>
      <c r="L21" s="28"/>
    </row>
    <row r="22" customFormat="false" ht="15" hidden="false" customHeight="false" outlineLevel="0" collapsed="false">
      <c r="A22" s="12" t="s">
        <v>637</v>
      </c>
      <c r="B22" s="29"/>
      <c r="C22" s="28"/>
      <c r="D22" s="28"/>
      <c r="E22" s="28"/>
      <c r="F22" s="6"/>
      <c r="G22" s="6"/>
      <c r="H22" s="28"/>
      <c r="I22" s="28"/>
      <c r="J22" s="6"/>
      <c r="K22" s="29"/>
      <c r="L22" s="28"/>
    </row>
    <row r="23" customFormat="false" ht="15" hidden="false" customHeight="false" outlineLevel="0" collapsed="false">
      <c r="A23" s="12" t="s">
        <v>638</v>
      </c>
      <c r="B23" s="29"/>
      <c r="C23" s="28"/>
      <c r="D23" s="28"/>
      <c r="E23" s="28"/>
      <c r="F23" s="6"/>
      <c r="G23" s="6"/>
      <c r="H23" s="28"/>
      <c r="I23" s="28"/>
      <c r="J23" s="6"/>
      <c r="K23" s="29"/>
      <c r="L23" s="28"/>
    </row>
    <row r="24" customFormat="false" ht="15" hidden="false" customHeight="false" outlineLevel="0" collapsed="false">
      <c r="A24" s="12" t="s">
        <v>639</v>
      </c>
      <c r="B24" s="29"/>
      <c r="C24" s="28"/>
      <c r="D24" s="28"/>
      <c r="E24" s="28"/>
      <c r="F24" s="6"/>
      <c r="G24" s="6"/>
      <c r="H24" s="28"/>
      <c r="I24" s="28"/>
      <c r="J24" s="6"/>
      <c r="K24" s="29"/>
      <c r="L24" s="28"/>
    </row>
    <row r="25" customFormat="false" ht="15" hidden="false" customHeight="false" outlineLevel="0" collapsed="false">
      <c r="A25" s="12" t="s">
        <v>640</v>
      </c>
      <c r="B25" s="29"/>
      <c r="C25" s="28"/>
      <c r="D25" s="28"/>
      <c r="E25" s="28"/>
      <c r="F25" s="6"/>
      <c r="G25" s="6"/>
      <c r="H25" s="28"/>
      <c r="I25" s="28"/>
      <c r="J25" s="6"/>
      <c r="K25" s="29"/>
      <c r="L25" s="28"/>
    </row>
    <row r="26" customFormat="false" ht="15" hidden="false" customHeight="false" outlineLevel="0" collapsed="false">
      <c r="A26" s="12" t="s">
        <v>641</v>
      </c>
      <c r="B26" s="29"/>
      <c r="C26" s="28"/>
      <c r="D26" s="28"/>
      <c r="E26" s="28"/>
      <c r="F26" s="6"/>
      <c r="G26" s="6"/>
      <c r="H26" s="28"/>
      <c r="I26" s="28"/>
      <c r="J26" s="6"/>
      <c r="K26" s="29"/>
      <c r="L26" s="28"/>
    </row>
    <row r="27" customFormat="false" ht="15" hidden="false" customHeight="false" outlineLevel="0" collapsed="false">
      <c r="A27" s="12" t="s">
        <v>642</v>
      </c>
      <c r="B27" s="29"/>
      <c r="C27" s="28"/>
      <c r="D27" s="28"/>
      <c r="E27" s="28"/>
      <c r="F27" s="6"/>
      <c r="G27" s="6"/>
      <c r="H27" s="28"/>
      <c r="I27" s="28"/>
      <c r="J27" s="6"/>
      <c r="K27" s="29"/>
      <c r="L27" s="28"/>
    </row>
    <row r="28" customFormat="false" ht="15" hidden="false" customHeight="false" outlineLevel="0" collapsed="false">
      <c r="A28" s="12" t="s">
        <v>643</v>
      </c>
      <c r="B28" s="29"/>
      <c r="C28" s="28"/>
      <c r="D28" s="28"/>
      <c r="E28" s="28"/>
      <c r="F28" s="6"/>
      <c r="G28" s="6"/>
      <c r="H28" s="28"/>
      <c r="I28" s="28"/>
      <c r="J28" s="6"/>
      <c r="K28" s="29"/>
      <c r="L28" s="28"/>
    </row>
    <row r="29" customFormat="false" ht="15" hidden="false" customHeight="false" outlineLevel="0" collapsed="false">
      <c r="A29" s="12" t="s">
        <v>644</v>
      </c>
      <c r="B29" s="29"/>
      <c r="C29" s="28"/>
      <c r="D29" s="28"/>
      <c r="E29" s="28"/>
      <c r="F29" s="6"/>
      <c r="G29" s="6"/>
      <c r="H29" s="28"/>
      <c r="I29" s="28"/>
      <c r="J29" s="6"/>
      <c r="K29" s="29"/>
      <c r="L29" s="28"/>
    </row>
    <row r="30" customFormat="false" ht="15" hidden="false" customHeight="false" outlineLevel="0" collapsed="false">
      <c r="A30" s="12" t="s">
        <v>645</v>
      </c>
      <c r="B30" s="29"/>
      <c r="C30" s="28"/>
      <c r="D30" s="28"/>
      <c r="E30" s="28"/>
      <c r="F30" s="6"/>
      <c r="G30" s="6"/>
      <c r="H30" s="28"/>
      <c r="I30" s="28"/>
      <c r="J30" s="6"/>
      <c r="K30" s="29"/>
      <c r="L30" s="28"/>
    </row>
    <row r="31" customFormat="false" ht="15" hidden="false" customHeight="false" outlineLevel="0" collapsed="false">
      <c r="A31" s="12" t="s">
        <v>646</v>
      </c>
      <c r="B31" s="29"/>
      <c r="C31" s="28"/>
      <c r="D31" s="28"/>
      <c r="E31" s="28"/>
      <c r="F31" s="6"/>
      <c r="G31" s="6"/>
      <c r="H31" s="28"/>
      <c r="I31" s="28"/>
      <c r="J31" s="6"/>
      <c r="K31" s="29"/>
      <c r="L31" s="28"/>
    </row>
    <row r="32" customFormat="false" ht="15" hidden="false" customHeight="false" outlineLevel="0" collapsed="false">
      <c r="A32" s="12" t="s">
        <v>647</v>
      </c>
      <c r="B32" s="29"/>
      <c r="C32" s="28"/>
      <c r="D32" s="28"/>
      <c r="E32" s="28"/>
      <c r="F32" s="6"/>
      <c r="G32" s="6"/>
      <c r="H32" s="28"/>
      <c r="I32" s="28"/>
      <c r="J32" s="6"/>
      <c r="K32" s="29"/>
      <c r="L32" s="28"/>
    </row>
    <row r="33" customFormat="false" ht="15" hidden="false" customHeight="false" outlineLevel="0" collapsed="false">
      <c r="A33" s="12" t="s">
        <v>648</v>
      </c>
      <c r="B33" s="29"/>
      <c r="C33" s="28"/>
      <c r="D33" s="28"/>
      <c r="E33" s="28"/>
      <c r="F33" s="6"/>
      <c r="G33" s="6"/>
      <c r="H33" s="28"/>
      <c r="I33" s="28"/>
      <c r="J33" s="6"/>
      <c r="K33" s="29"/>
      <c r="L33" s="28"/>
    </row>
    <row r="34" customFormat="false" ht="15" hidden="false" customHeight="false" outlineLevel="0" collapsed="false">
      <c r="A34" s="12" t="s">
        <v>649</v>
      </c>
      <c r="B34" s="29"/>
      <c r="C34" s="28"/>
      <c r="D34" s="28"/>
      <c r="E34" s="28"/>
      <c r="F34" s="6"/>
      <c r="G34" s="6"/>
      <c r="H34" s="28"/>
      <c r="I34" s="28"/>
      <c r="J34" s="6"/>
      <c r="K34" s="29"/>
      <c r="L34" s="28"/>
    </row>
    <row r="35" customFormat="false" ht="15" hidden="false" customHeight="false" outlineLevel="0" collapsed="false">
      <c r="A35" s="12" t="s">
        <v>650</v>
      </c>
      <c r="B35" s="29"/>
      <c r="C35" s="28"/>
      <c r="D35" s="28"/>
      <c r="E35" s="28"/>
      <c r="F35" s="6"/>
      <c r="G35" s="6"/>
      <c r="H35" s="28"/>
      <c r="I35" s="28"/>
      <c r="J35" s="6"/>
      <c r="K35" s="29"/>
      <c r="L35" s="28"/>
    </row>
    <row r="36" customFormat="false" ht="15" hidden="false" customHeight="false" outlineLevel="0" collapsed="false">
      <c r="A36" s="12" t="s">
        <v>651</v>
      </c>
      <c r="B36" s="29"/>
      <c r="C36" s="28"/>
      <c r="D36" s="28"/>
      <c r="E36" s="28"/>
      <c r="F36" s="6"/>
      <c r="G36" s="6"/>
      <c r="H36" s="28"/>
      <c r="I36" s="28"/>
      <c r="J36" s="6"/>
      <c r="K36" s="29"/>
      <c r="L36" s="28"/>
    </row>
    <row r="37" customFormat="false" ht="15" hidden="false" customHeight="false" outlineLevel="0" collapsed="false">
      <c r="A37" s="12" t="s">
        <v>652</v>
      </c>
      <c r="B37" s="29"/>
      <c r="C37" s="28"/>
      <c r="D37" s="28"/>
      <c r="E37" s="28"/>
      <c r="F37" s="6"/>
      <c r="G37" s="6"/>
      <c r="H37" s="28"/>
      <c r="I37" s="28"/>
      <c r="J37" s="6"/>
      <c r="K37" s="29"/>
      <c r="L37" s="28"/>
    </row>
    <row r="38" customFormat="false" ht="15" hidden="false" customHeight="false" outlineLevel="0" collapsed="false">
      <c r="A38" s="12" t="s">
        <v>653</v>
      </c>
      <c r="B38" s="29"/>
      <c r="C38" s="28"/>
      <c r="D38" s="28"/>
      <c r="E38" s="28"/>
      <c r="F38" s="6"/>
      <c r="G38" s="6"/>
      <c r="H38" s="28"/>
      <c r="I38" s="28"/>
      <c r="J38" s="6"/>
      <c r="K38" s="29"/>
      <c r="L38" s="28"/>
    </row>
    <row r="39" customFormat="false" ht="15" hidden="false" customHeight="false" outlineLevel="0" collapsed="false">
      <c r="A39" s="12" t="s">
        <v>654</v>
      </c>
      <c r="B39" s="29"/>
      <c r="C39" s="28"/>
      <c r="D39" s="28"/>
      <c r="E39" s="28"/>
      <c r="F39" s="6"/>
      <c r="G39" s="6"/>
      <c r="H39" s="28"/>
      <c r="I39" s="28"/>
      <c r="J39" s="6"/>
      <c r="K39" s="29"/>
      <c r="L39" s="28"/>
    </row>
    <row r="40" customFormat="false" ht="15" hidden="false" customHeight="false" outlineLevel="0" collapsed="false">
      <c r="A40" s="12" t="s">
        <v>655</v>
      </c>
      <c r="B40" s="29"/>
      <c r="C40" s="28"/>
      <c r="D40" s="28"/>
      <c r="E40" s="28"/>
      <c r="F40" s="6"/>
      <c r="G40" s="6"/>
      <c r="H40" s="28"/>
      <c r="I40" s="28"/>
      <c r="J40" s="6"/>
      <c r="K40" s="29"/>
      <c r="L40" s="28"/>
    </row>
    <row r="41" customFormat="false" ht="15" hidden="false" customHeight="false" outlineLevel="0" collapsed="false">
      <c r="A41" s="12" t="s">
        <v>656</v>
      </c>
      <c r="B41" s="29"/>
      <c r="C41" s="28"/>
      <c r="D41" s="28"/>
      <c r="E41" s="28"/>
      <c r="F41" s="6"/>
      <c r="G41" s="6"/>
      <c r="H41" s="28"/>
      <c r="I41" s="28"/>
      <c r="J41" s="6"/>
      <c r="K41" s="29"/>
      <c r="L41" s="28"/>
    </row>
    <row r="42" customFormat="false" ht="15" hidden="false" customHeight="false" outlineLevel="0" collapsed="false">
      <c r="A42" s="12" t="s">
        <v>657</v>
      </c>
      <c r="B42" s="29"/>
      <c r="C42" s="28"/>
      <c r="D42" s="28"/>
      <c r="E42" s="28"/>
      <c r="F42" s="6"/>
      <c r="G42" s="6"/>
      <c r="H42" s="28"/>
      <c r="I42" s="28"/>
      <c r="J42" s="6"/>
      <c r="K42" s="29"/>
      <c r="L42" s="28"/>
    </row>
    <row r="43" customFormat="false" ht="15" hidden="false" customHeight="false" outlineLevel="0" collapsed="false">
      <c r="A43" s="12" t="s">
        <v>658</v>
      </c>
      <c r="B43" s="29"/>
      <c r="C43" s="28"/>
      <c r="D43" s="28"/>
      <c r="E43" s="28"/>
      <c r="F43" s="6"/>
      <c r="G43" s="6"/>
      <c r="H43" s="28"/>
      <c r="I43" s="28"/>
      <c r="J43" s="6"/>
      <c r="K43" s="29"/>
      <c r="L43" s="28"/>
    </row>
    <row r="44" customFormat="false" ht="15" hidden="false" customHeight="false" outlineLevel="0" collapsed="false">
      <c r="A44" s="12" t="s">
        <v>659</v>
      </c>
      <c r="B44" s="29"/>
      <c r="C44" s="28"/>
      <c r="D44" s="28"/>
      <c r="E44" s="28"/>
      <c r="F44" s="6"/>
      <c r="G44" s="6"/>
      <c r="H44" s="28"/>
      <c r="I44" s="28"/>
      <c r="J44" s="6"/>
      <c r="K44" s="29"/>
      <c r="L44" s="28"/>
    </row>
    <row r="45" customFormat="false" ht="15" hidden="false" customHeight="false" outlineLevel="0" collapsed="false">
      <c r="A45" s="12" t="s">
        <v>660</v>
      </c>
      <c r="B45" s="29"/>
      <c r="C45" s="28"/>
      <c r="D45" s="28"/>
      <c r="E45" s="28"/>
      <c r="F45" s="6"/>
      <c r="G45" s="6"/>
      <c r="H45" s="28"/>
      <c r="I45" s="28"/>
      <c r="J45" s="6"/>
      <c r="K45" s="29"/>
      <c r="L45" s="28"/>
    </row>
    <row r="46" customFormat="false" ht="15" hidden="false" customHeight="false" outlineLevel="0" collapsed="false">
      <c r="A46" s="12" t="s">
        <v>661</v>
      </c>
      <c r="B46" s="29"/>
      <c r="C46" s="28"/>
      <c r="D46" s="28"/>
      <c r="E46" s="28"/>
      <c r="F46" s="6"/>
      <c r="G46" s="6"/>
      <c r="H46" s="28"/>
      <c r="I46" s="28"/>
      <c r="J46" s="6"/>
      <c r="K46" s="29"/>
      <c r="L46" s="28"/>
    </row>
    <row r="47" customFormat="false" ht="15" hidden="false" customHeight="false" outlineLevel="0" collapsed="false">
      <c r="A47" s="12" t="s">
        <v>662</v>
      </c>
      <c r="B47" s="29"/>
      <c r="C47" s="28"/>
      <c r="D47" s="28"/>
      <c r="E47" s="28"/>
      <c r="F47" s="6"/>
      <c r="G47" s="6"/>
      <c r="H47" s="28"/>
      <c r="I47" s="28"/>
      <c r="J47" s="6"/>
      <c r="K47" s="29"/>
      <c r="L47" s="28"/>
    </row>
    <row r="48" customFormat="false" ht="15" hidden="false" customHeight="false" outlineLevel="0" collapsed="false">
      <c r="A48" s="12" t="s">
        <v>663</v>
      </c>
      <c r="B48" s="29"/>
      <c r="C48" s="28"/>
      <c r="D48" s="28"/>
      <c r="E48" s="28"/>
      <c r="F48" s="6"/>
      <c r="G48" s="6"/>
      <c r="H48" s="28"/>
      <c r="I48" s="28"/>
      <c r="J48" s="6"/>
      <c r="K48" s="29"/>
      <c r="L48" s="28"/>
    </row>
    <row r="49" customFormat="false" ht="15" hidden="false" customHeight="false" outlineLevel="0" collapsed="false">
      <c r="A49" s="12" t="s">
        <v>664</v>
      </c>
      <c r="B49" s="29"/>
      <c r="C49" s="28"/>
      <c r="D49" s="28"/>
      <c r="E49" s="28"/>
      <c r="F49" s="6"/>
      <c r="G49" s="6"/>
      <c r="H49" s="28"/>
      <c r="I49" s="28"/>
      <c r="J49" s="6"/>
      <c r="K49" s="29"/>
      <c r="L49" s="28"/>
    </row>
    <row r="50" customFormat="false" ht="15" hidden="false" customHeight="false" outlineLevel="0" collapsed="false">
      <c r="A50" s="12" t="s">
        <v>665</v>
      </c>
      <c r="B50" s="29"/>
      <c r="C50" s="28"/>
      <c r="D50" s="28"/>
      <c r="E50" s="28"/>
      <c r="F50" s="6"/>
      <c r="G50" s="6"/>
      <c r="H50" s="28"/>
      <c r="I50" s="28"/>
      <c r="J50" s="6"/>
      <c r="K50" s="29"/>
      <c r="L50" s="28"/>
    </row>
    <row r="51" customFormat="false" ht="15" hidden="false" customHeight="false" outlineLevel="0" collapsed="false">
      <c r="A51" s="12" t="s">
        <v>666</v>
      </c>
      <c r="B51" s="29"/>
      <c r="C51" s="28"/>
      <c r="D51" s="28"/>
      <c r="E51" s="28"/>
      <c r="F51" s="6"/>
      <c r="G51" s="6"/>
      <c r="H51" s="28"/>
      <c r="I51" s="28"/>
      <c r="J51" s="6"/>
      <c r="K51" s="29"/>
      <c r="L51" s="28"/>
    </row>
    <row r="52" customFormat="false" ht="15" hidden="false" customHeight="false" outlineLevel="0" collapsed="false">
      <c r="A52" s="12" t="s">
        <v>667</v>
      </c>
      <c r="B52" s="29"/>
      <c r="C52" s="28"/>
      <c r="D52" s="28"/>
      <c r="E52" s="28"/>
      <c r="F52" s="6"/>
      <c r="G52" s="6"/>
      <c r="H52" s="28"/>
      <c r="I52" s="28"/>
      <c r="J52" s="6"/>
      <c r="K52" s="29"/>
      <c r="L52" s="28"/>
    </row>
    <row r="53" customFormat="false" ht="15" hidden="false" customHeight="false" outlineLevel="0" collapsed="false">
      <c r="A53" s="12" t="s">
        <v>668</v>
      </c>
      <c r="B53" s="29"/>
      <c r="C53" s="28"/>
      <c r="D53" s="28"/>
      <c r="E53" s="28"/>
      <c r="F53" s="6"/>
      <c r="G53" s="6"/>
      <c r="H53" s="28"/>
      <c r="I53" s="28"/>
      <c r="J53" s="6"/>
      <c r="K53" s="29"/>
      <c r="L53" s="28"/>
    </row>
    <row r="54" customFormat="false" ht="15" hidden="false" customHeight="false" outlineLevel="0" collapsed="false">
      <c r="A54" s="12" t="s">
        <v>669</v>
      </c>
      <c r="B54" s="29"/>
      <c r="C54" s="28"/>
      <c r="D54" s="28"/>
      <c r="E54" s="28"/>
      <c r="F54" s="6"/>
      <c r="G54" s="6"/>
      <c r="H54" s="28"/>
      <c r="I54" s="28"/>
      <c r="J54" s="6"/>
      <c r="K54" s="29"/>
      <c r="L54" s="28"/>
    </row>
  </sheetData>
  <dataValidations count="3">
    <dataValidation allowBlank="true" errorStyle="stop" operator="between" showDropDown="false" showErrorMessage="false" showInputMessage="false" sqref="E5:E54" type="list">
      <formula1>"不具合,改善要望,仕様確認"</formula1>
      <formula2>0</formula2>
    </dataValidation>
    <dataValidation allowBlank="true" errorStyle="stop" operator="between" showDropDown="false" showErrorMessage="false" showInputMessage="false" sqref="H5:H54" type="list">
      <formula1>"高,中,低"</formula1>
      <formula2>0</formula2>
    </dataValidation>
    <dataValidation allowBlank="true" errorStyle="stop" operator="between" showDropDown="false" showErrorMessage="false" showInputMessage="false" sqref="I5:I54" type="list">
      <formula1>"未対応,対応中,修正済,確認済,見送り"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2026-10-16T00:41:23Z</dcterms:created>
  <dc:creator>openpyxl</dc:creator>
  <dc:description/>
  <dc:language>en-US</dc:language>
  <cp:lastModifiedBy/>
  <dcterms:modified xsi:type="dcterms:W3CDTF">2026-10-16T00:41:23Z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